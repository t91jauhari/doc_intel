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F0CFE011-B137-46C3-B274-924CF1E7A487}" xr6:coauthVersionLast="47" xr6:coauthVersionMax="47" xr10:uidLastSave="{00000000-0000-0000-0000-000000000000}"/>
  <bookViews>
    <workbookView xWindow="-108" yWindow="-108" windowWidth="23256" windowHeight="12456" firstSheet="1" activeTab="6" xr2:uid="{341DF505-419D-40C5-9D04-746FFCAD38FA}"/>
  </bookViews>
  <sheets>
    <sheet name="Field Rule extraction Sampl dt" sheetId="1" r:id="rId1"/>
    <sheet name="Report Kertas Kerja" sheetId="2" r:id="rId2"/>
    <sheet name="SOP 1" sheetId="3" r:id="rId3"/>
    <sheet name="SOP System" sheetId="4" r:id="rId4"/>
    <sheet name="SOP Riplay" sheetId="5" r:id="rId5"/>
    <sheet name="SOP Stemple" sheetId="6" r:id="rId6"/>
    <sheet name="SOP Tabung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2" l="1"/>
  <c r="T21" i="2"/>
  <c r="T22" i="2" s="1"/>
  <c r="S21" i="2"/>
  <c r="S22" i="2" s="1"/>
  <c r="O21" i="2"/>
  <c r="O22" i="2" s="1"/>
  <c r="C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A2D89BA5-7FE8-4D8C-B2AC-B25D4F5791A3}">
      <text>
        <r>
          <rPr>
            <sz val="11"/>
            <color theme="1"/>
            <rFont val="Aptos Narrow"/>
            <family val="2"/>
            <scheme val="minor"/>
          </rPr>
          <t>expectation when information stored in the system</t>
        </r>
      </text>
    </comment>
    <comment ref="D49" authorId="0" shapeId="0" xr:uid="{77D1FEB2-1A3F-42B8-812B-A00A89310561}">
      <text>
        <r>
          <rPr>
            <sz val="11"/>
            <color theme="1"/>
            <rFont val="Aptos Narrow"/>
            <family val="2"/>
            <scheme val="minor"/>
          </rPr>
          <t>expectation when information stored in the system</t>
        </r>
      </text>
    </comment>
    <comment ref="D94" authorId="0" shapeId="0" xr:uid="{089E9C67-42B1-4BF1-9DB4-90F41030BB83}">
      <text>
        <r>
          <rPr>
            <sz val="11"/>
            <color theme="1"/>
            <rFont val="Aptos Narrow"/>
            <family val="2"/>
            <scheme val="minor"/>
          </rPr>
          <t>expectation when information stored in the system</t>
        </r>
      </text>
    </comment>
    <comment ref="D193" authorId="0" shapeId="0" xr:uid="{C7A083C1-7737-44BF-B170-F98A7DEA37E9}">
      <text>
        <r>
          <rPr>
            <sz val="11"/>
            <color theme="1"/>
            <rFont val="Aptos Narrow"/>
            <family val="2"/>
            <scheme val="minor"/>
          </rPr>
          <t>expectation when information stored in the system</t>
        </r>
      </text>
    </comment>
    <comment ref="D209" authorId="0" shapeId="0" xr:uid="{FD180739-13D4-407A-99CC-3D14546A3214}">
      <text>
        <r>
          <rPr>
            <sz val="11"/>
            <color theme="1"/>
            <rFont val="Aptos Narrow"/>
            <family val="2"/>
            <scheme val="minor"/>
          </rPr>
          <t>expectation when information stored in the system</t>
        </r>
      </text>
    </comment>
    <comment ref="D227" authorId="0" shapeId="0" xr:uid="{B511FE4A-7921-4B7A-89B2-1BB159C52263}">
      <text>
        <r>
          <rPr>
            <sz val="11"/>
            <color theme="1"/>
            <rFont val="Aptos Narrow"/>
            <family val="2"/>
            <scheme val="minor"/>
          </rPr>
          <t>expectation when information stored in the system</t>
        </r>
      </text>
    </comment>
  </commentList>
</comments>
</file>

<file path=xl/sharedStrings.xml><?xml version="1.0" encoding="utf-8"?>
<sst xmlns="http://schemas.openxmlformats.org/spreadsheetml/2006/main" count="2323" uniqueCount="1022">
  <si>
    <t xml:space="preserve">File </t>
  </si>
  <si>
    <t>No</t>
  </si>
  <si>
    <t>Field Name</t>
  </si>
  <si>
    <t xml:space="preserve">Field Type </t>
  </si>
  <si>
    <t>Requirement</t>
  </si>
  <si>
    <t>Checking Mandatory</t>
  </si>
  <si>
    <t>Must match with</t>
  </si>
  <si>
    <t>Indah Laruna Prima [Sample 1]</t>
  </si>
  <si>
    <t>Artha Milani [Sample 3]</t>
  </si>
  <si>
    <t>Langit Raharja [Sample 4]</t>
  </si>
  <si>
    <t>Poko [Sample 5]</t>
  </si>
  <si>
    <t>Sample 6</t>
  </si>
  <si>
    <t>Sample 7</t>
  </si>
  <si>
    <t>Sample 8</t>
  </si>
  <si>
    <t>Sample 9</t>
  </si>
  <si>
    <t>Sample 10</t>
  </si>
  <si>
    <t>here</t>
  </si>
  <si>
    <t>eKTP</t>
  </si>
  <si>
    <t>NIK</t>
  </si>
  <si>
    <t>String (numeric identifier)</t>
  </si>
  <si>
    <t>• Must contain exactly 16 digits, no letters or symbols.
• OCR must capture every digit accurately.
• Reject entries with spaces, dots, or non-numeric characters.</t>
  </si>
  <si>
    <t>- Must match with field 'NIK' on form pembukaan rekening
- 7th to 12nd NIK number must be match to field 'Tanggal Lahir', with distiction based on 'Jenis Kelamin', for 'Laki-laki' the birth date is as is, for 'Perempuan' the birth date need to be added with 40</t>
  </si>
  <si>
    <t>3896872710880099</t>
  </si>
  <si>
    <t>3777891106930011</t>
  </si>
  <si>
    <t>3356890112890007</t>
  </si>
  <si>
    <t>3201114448899001</t>
  </si>
  <si>
    <t>3177760605940088</t>
  </si>
  <si>
    <t>3273010507950009</t>
  </si>
  <si>
    <t>3573011307960006</t>
  </si>
  <si>
    <t>5171031101990008</t>
  </si>
  <si>
    <t>3471011306810010</t>
  </si>
  <si>
    <t>Nama</t>
  </si>
  <si>
    <t>String (text)</t>
  </si>
  <si>
    <t>• Accept only alphabetic characters and spaces.
• Trim leading/trailing spaces automatically.
• Reject entries containing numbers or special symbols.</t>
  </si>
  <si>
    <t>- Must match with field 'Nama lengkap sesuai identitas' on form pembukaan rekening</t>
  </si>
  <si>
    <t>INDAH LARUNA PRIMA</t>
  </si>
  <si>
    <t>ARTHA MILANI</t>
  </si>
  <si>
    <t>LANGIT RAHARJA</t>
  </si>
  <si>
    <t>POKO</t>
  </si>
  <si>
    <t>DIRMAN SISWANTO</t>
  </si>
  <si>
    <t>BAYU BIRDLESS</t>
  </si>
  <si>
    <t>PAULUS HERDIANSYAH</t>
  </si>
  <si>
    <t>STUART STARSHINE</t>
  </si>
  <si>
    <t>STEVE CAPTAIN</t>
  </si>
  <si>
    <t>Tempat Lahir</t>
  </si>
  <si>
    <t>• Accept letters and spaces (city or place name).
• No digits or punctuation allowed.
• OCR must not misread as numbers.</t>
  </si>
  <si>
    <t>- Must match with field 'Tempat Lahir' on form pembukaan rekening</t>
  </si>
  <si>
    <t>JAKARTA</t>
  </si>
  <si>
    <t>SABANG</t>
  </si>
  <si>
    <t>BALI</t>
  </si>
  <si>
    <t>DENPASAR</t>
  </si>
  <si>
    <t>SIGLI</t>
  </si>
  <si>
    <t>PALU</t>
  </si>
  <si>
    <t>BANDUNG</t>
  </si>
  <si>
    <t>PAPUA</t>
  </si>
  <si>
    <t>Tanggal Lahir</t>
  </si>
  <si>
    <t>Date (DD-MM-YYYY)</t>
  </si>
  <si>
    <t>• Accept multiple input formats (e.g. 1/6/1993, 01-06-1993, DD-MMM-YYYY, YYYY-MM-DD or other valid format of date).
• System auto-converts to DD-MM-YYYY format.
• Validate that the date is not in the future.
• OCR must correctly extract day, month, and year even with mixed language formats.</t>
  </si>
  <si>
    <t>27-10-1988</t>
  </si>
  <si>
    <t>01- 06 -1993</t>
  </si>
  <si>
    <t>29-02-2004</t>
  </si>
  <si>
    <t>13-07-1996</t>
  </si>
  <si>
    <t>13-06-1981</t>
  </si>
  <si>
    <t>Jenis Kelamin</t>
  </si>
  <si>
    <t>Enum (Laki-Laki, Perempuan) / String</t>
  </si>
  <si>
    <t>• Accept only “Laki-Laki” or “Perempuan” (case insensitive).
• Reject any other text or empty values.
• OCR must correctly detect the label.</t>
  </si>
  <si>
    <t>PEREMPUAN</t>
  </si>
  <si>
    <t>LAKI-LAKI</t>
  </si>
  <si>
    <t>Golongan Darah</t>
  </si>
  <si>
    <t>Enum (A,B,AB,O) / Char (single letter)</t>
  </si>
  <si>
    <r>
      <rPr>
        <sz val="11"/>
        <color theme="1"/>
        <rFont val="Calibri"/>
        <family val="2"/>
      </rPr>
      <t xml:space="preserve">• Accept only A, B, AB, O, or -
• Case insensitive.
• Reject blank, symbol, or invalid input. </t>
    </r>
    <r>
      <rPr>
        <i/>
        <sz val="11"/>
        <color theme="1"/>
        <rFont val="Calibri"/>
        <family val="2"/>
      </rPr>
      <t>(except -, means that the bloodline its not confirmed)</t>
    </r>
  </si>
  <si>
    <t>–</t>
  </si>
  <si>
    <t xml:space="preserve">– </t>
  </si>
  <si>
    <t>-</t>
  </si>
  <si>
    <t>Alamat</t>
  </si>
  <si>
    <t>• Allow letters, numbers, punctuation, and spaces.
• OCR must capture full text (no truncation).</t>
  </si>
  <si>
    <t>Must match with field 'Alamat sesuai Identitas' in the opening form (if such a field is available on the form))</t>
  </si>
  <si>
    <t>JL. MESJID RAYA NO 30</t>
  </si>
  <si>
    <t>JL. PEREMPATAN 7 10F</t>
  </si>
  <si>
    <t>JL. KRESEK RAYA 77D</t>
  </si>
  <si>
    <t>JL. KEJAKSAAN NO 22</t>
  </si>
  <si>
    <t>JL. MUHAJIRIN 2 NO 35</t>
  </si>
  <si>
    <t>JL. KEMENANGAN MERDEKA NO 101T</t>
  </si>
  <si>
    <t>JL. STELLA MARIS NO 13</t>
  </si>
  <si>
    <t>JL. PURI INDAH NIRWANA NO 99</t>
  </si>
  <si>
    <t>JL. KEMERDEKAAN NO 204</t>
  </si>
  <si>
    <t>RT</t>
  </si>
  <si>
    <t>String / small int</t>
  </si>
  <si>
    <t>• Accept numeric values up to 3 digits.
• System must auto left-pad with zeros (e.g., 4 → 004).
• OCR must read all digits correctly.
• Reject if contains letters or symbols.</t>
  </si>
  <si>
    <t>011</t>
  </si>
  <si>
    <t>001</t>
  </si>
  <si>
    <t>002</t>
  </si>
  <si>
    <t>005</t>
  </si>
  <si>
    <t>003</t>
  </si>
  <si>
    <t>RW</t>
  </si>
  <si>
    <t>007</t>
  </si>
  <si>
    <t>008</t>
  </si>
  <si>
    <t>013</t>
  </si>
  <si>
    <t>004</t>
  </si>
  <si>
    <t>Kelurahan/Desa</t>
  </si>
  <si>
    <t>• Allow characters/string and letters, numbers, punctuation, and spaces.
• OCR must capture full text correctly</t>
  </si>
  <si>
    <t>SOMBA OPU</t>
  </si>
  <si>
    <t>KARANG KIDUL</t>
  </si>
  <si>
    <t>PANCORAN</t>
  </si>
  <si>
    <t>TEGALGUNDIL</t>
  </si>
  <si>
    <t>GROGOL</t>
  </si>
  <si>
    <t>BATUNUNGGAL</t>
  </si>
  <si>
    <t>PISANG SANDI</t>
  </si>
  <si>
    <t>DAUH PURI</t>
  </si>
  <si>
    <t>WIROGUNAN</t>
  </si>
  <si>
    <t>Kecamatan</t>
  </si>
  <si>
    <t>BIRINGALA</t>
  </si>
  <si>
    <t>SEMARANG TENGAH</t>
  </si>
  <si>
    <t>DUREN TIGA</t>
  </si>
  <si>
    <t>BOGOR UTARA</t>
  </si>
  <si>
    <t>GROGOL PETAMBURAN</t>
  </si>
  <si>
    <t>BANDUNG KIDUL</t>
  </si>
  <si>
    <t>SUKUN</t>
  </si>
  <si>
    <t>DENPASAR BARAT</t>
  </si>
  <si>
    <t>MERGANGSAN</t>
  </si>
  <si>
    <t>Agama</t>
  </si>
  <si>
    <t>Enum ( Islam, Kristen, Katolik, Hindu, Buddha, Konghucu, Penghayat Kepercayaan) / String</t>
  </si>
  <si>
    <t>• Accept only: Islam, Kristen, Katolik, Hindu, Buddha, Konghucu, Penghayat Kepercayaan/Kepercayaan Terhadap Tuhan Yang Maha Esa .
• Case insensitive.
• Reject misspelled or unrecognized entries.</t>
  </si>
  <si>
    <t>BUDHA</t>
  </si>
  <si>
    <t>ISLAM</t>
  </si>
  <si>
    <t>KRISTEN</t>
  </si>
  <si>
    <t>HINDU</t>
  </si>
  <si>
    <t>KATHOLIK</t>
  </si>
  <si>
    <t>Status Perkawinan</t>
  </si>
  <si>
    <t>Enum (Belum Kawin/Kawin/Cerai Hidup/Cerai Mati) / String</t>
  </si>
  <si>
    <t>• Accept only: Belum Kawin, Kawin, Cerai Hidup, Cerai Mati.
• Reject other text or abbreviations.
• OCR must capture full word correctly.</t>
  </si>
  <si>
    <t>CERAI HIDUP</t>
  </si>
  <si>
    <t>BELUM KAWIN</t>
  </si>
  <si>
    <t>KAWIN</t>
  </si>
  <si>
    <t>BELUM MENIKAH</t>
  </si>
  <si>
    <t>Pekerjaan</t>
  </si>
  <si>
    <t>WIRASWASTA</t>
  </si>
  <si>
    <t>DOSEN</t>
  </si>
  <si>
    <t>KARYAWAN SWASTA</t>
  </si>
  <si>
    <t>TNI.AD</t>
  </si>
  <si>
    <t>Kewarganegaraan</t>
  </si>
  <si>
    <t>Enum (WNA/WNI)</t>
  </si>
  <si>
    <t>• Restrict to “WNI” or “WNA”.
• Reject blank or other entries.
• OCR must detect letters clearly.</t>
  </si>
  <si>
    <t>WNI</t>
  </si>
  <si>
    <t>Berlaku Hingga</t>
  </si>
  <si>
    <t>String</t>
  </si>
  <si>
    <t>• Accept either “SEUMUR HIDUP” or valid date
• System must detect and interpret both formats.
• OCR must not confuse text as date.
Date must follow date requirements:
• Accept multiple input formats (e.g., 1/6/1993, 01-06-1993, DD month name YYYY. or other valid format of date).
• System auto-converts to DD-MM-YYYY format.
• Validate that the date is not in the future.
• OCR must correctly extract day, month, and year.</t>
  </si>
  <si>
    <t>SEUMUR HIDUP</t>
  </si>
  <si>
    <t>Tempat &amp; Tanggal Penerbitan KTP</t>
  </si>
  <si>
    <t>String + Date</t>
  </si>
  <si>
    <t>Date must follow date requirements:
• Accept multiple input formats (e.g., 1/6/1993, 01-06-1993, DD month name YYYY. or other valid format of date).
• System auto-converts to DD-MM-YYYY format.
• Validate that the date is not in the future.
• OCR must correctly extract day, month, and year.
Tempat lahir must follow City requirements:
• Accept free-text for city/place names (letters, spaces, and punctuation).
• Trim leading and trailing spaces automatically.
• Reject numeric or symbol-only inputs (e.g., “123”, “@@”).</t>
  </si>
  <si>
    <t>KABUPATEN GOWA, 21-03-2017</t>
  </si>
  <si>
    <t>KOTA SEMARANG, 01-02-2016</t>
  </si>
  <si>
    <t>JAKARTA SELATAN, 15-07-2018</t>
  </si>
  <si>
    <t>KOTA BOGOR, 13-07-2013</t>
  </si>
  <si>
    <t>JAKARTA BARAT, 05-12-2015</t>
  </si>
  <si>
    <t>KOTA BANDUNG, 05-07-2012</t>
  </si>
  <si>
    <t>KOTA MALANG, 13-07-2013</t>
  </si>
  <si>
    <t>KOTA DENPASAR, 11-01-2016</t>
  </si>
  <si>
    <t>KOTA YOGYAKARTA, 13-06-2017</t>
  </si>
  <si>
    <t>Tanda tangan pemilik</t>
  </si>
  <si>
    <t>Image / Binary</t>
  </si>
  <si>
    <t>• Must not be blank, corrupted, or mismatched.
• OCR must recognize signature region as non-text.</t>
  </si>
  <si>
    <r>
      <rPr>
        <sz val="11"/>
        <color rgb="FF000000"/>
        <rFont val="Calibri"/>
        <family val="2"/>
      </rPr>
      <t xml:space="preserve">Available
[Just for Reference] </t>
    </r>
    <r>
      <rPr>
        <u/>
        <sz val="11"/>
        <color rgb="FF0563C1"/>
        <rFont val="Calibri"/>
        <family val="2"/>
      </rPr>
      <t>here</t>
    </r>
  </si>
  <si>
    <r>
      <t xml:space="preserve">Available
[Just for Reference] </t>
    </r>
    <r>
      <rPr>
        <u/>
        <sz val="11"/>
        <color rgb="FF1155CC"/>
        <rFont val="Calibri"/>
        <family val="2"/>
      </rPr>
      <t>here</t>
    </r>
  </si>
  <si>
    <t>Foto Pemilik</t>
  </si>
  <si>
    <t>• Face must be visible and not cropped.</t>
  </si>
  <si>
    <t>Stamp verification</t>
  </si>
  <si>
    <t>Image/Binary</t>
  </si>
  <si>
    <r>
      <t xml:space="preserve">Must meet </t>
    </r>
    <r>
      <rPr>
        <u/>
        <sz val="11"/>
        <color rgb="FF1155CC"/>
        <rFont val="Calibri"/>
        <family val="2"/>
      </rPr>
      <t>stamp requirement</t>
    </r>
    <r>
      <rPr>
        <sz val="11"/>
        <color theme="1"/>
        <rFont val="Aptos Narrow"/>
        <family val="2"/>
        <scheme val="minor"/>
      </rPr>
      <t xml:space="preserve"> on number 6</t>
    </r>
  </si>
  <si>
    <t>Available</t>
  </si>
  <si>
    <t>Not Available</t>
  </si>
  <si>
    <t>Total</t>
  </si>
  <si>
    <t>Wrong label name/format (might tolerable)</t>
  </si>
  <si>
    <t>Totally wrong</t>
  </si>
  <si>
    <t>Form Join Visit</t>
  </si>
  <si>
    <t>Nama Field</t>
  </si>
  <si>
    <t>Tipe Field (Benar)</t>
  </si>
  <si>
    <t>Sample 1</t>
  </si>
  <si>
    <t>Sample 2</t>
  </si>
  <si>
    <t>Sample 3</t>
  </si>
  <si>
    <t>Sample 5</t>
  </si>
  <si>
    <t>Nama Nasabah</t>
  </si>
  <si>
    <t>String (teks)</t>
  </si>
  <si>
    <t>• Accept free-text for customer name.
• Trim leading/trailing spaces.
• OCR must capture full name accurately.
• Detect numeric-only or symbol-only inputs.</t>
  </si>
  <si>
    <t>Artha Milani</t>
  </si>
  <si>
    <t>Langit Raharja</t>
  </si>
  <si>
    <t>Dirman Siswanto</t>
  </si>
  <si>
    <t>Bayu Birdless</t>
  </si>
  <si>
    <t>CIF</t>
  </si>
  <si>
    <t>String (Numeric Identifier)</t>
  </si>
  <si>
    <t>• Must be numeric only; reject non-numeric characters.
• OCR must capture all digits correctly.</t>
  </si>
  <si>
    <t>000091</t>
  </si>
  <si>
    <t>000099</t>
  </si>
  <si>
    <t>000090</t>
  </si>
  <si>
    <t>Tanggal Visit/Kunjungan</t>
  </si>
  <si>
    <t>24 -07-2025</t>
  </si>
  <si>
    <t>Nama Marketing Pembawa Form</t>
  </si>
  <si>
    <t>• Accept free-text for staff/marketing name.
• Allow letters, punctuation, and spaces.
• Trim extra spaces.
• OCR must detect full name correctly.
• Detect blank or invalid entries.</t>
  </si>
  <si>
    <t>Ilen</t>
  </si>
  <si>
    <t>Imas</t>
  </si>
  <si>
    <t>Bumi</t>
  </si>
  <si>
    <t>Rosa</t>
  </si>
  <si>
    <t>Foto KTP Nasabah</t>
  </si>
  <si>
    <t>Enum (Sesuai/Tidak Sesuai)</t>
  </si>
  <si>
    <t>• Restrict to enumerated values Sesuai or Tidak Sesuai.
• Detect  remark field for verification note (e.g., “ok”, “different photo”).
• OCR must detect enum value and notes clearly.</t>
  </si>
  <si>
    <t>Sesuai – Keterangan: ok</t>
  </si>
  <si>
    <t>Alamat KTP</t>
  </si>
  <si>
    <t>• Restrict to enumerated values.
• Detect  remarks describing matching result.
• OCR must read “Sesuai/Tidak Sesuai” plus note field.
• Used to confirm identity consistency between KTP &amp; form.</t>
  </si>
  <si>
    <t>Alamat Tinggal Sekarang</t>
  </si>
  <si>
    <t>• Restrict to Sesuai / Tidak Sesuai.
• Detect remarks (e.g., “same as KTP”, “different city”).
• OCR must capture both enum value and note.
• Field used for current residence verification.</t>
  </si>
  <si>
    <t>Nomor Handphone</t>
  </si>
  <si>
    <t>• Restrict to enumerated values.
• OCR must detect both enum and note text.
• Field used for contact data matching.</t>
  </si>
  <si>
    <t>Alamat Email</t>
  </si>
  <si>
    <t>• Restrict to enumerated values.
• Remarks field optional if no email available.
• OCR must detect enum value correctly.</t>
  </si>
  <si>
    <t>Tempat Tanggal Lahir</t>
  </si>
  <si>
    <t>• Restrict to Sesuai / Tidak Sesuai.
• Mandatory remarks to record discrepancy if any.
• OCR must capture text accurately.
• Used to cross-verify birth data with KTP and CIF.</t>
  </si>
  <si>
    <t>Nama Ibu Kandung</t>
  </si>
  <si>
    <t>• Restrict to Sesuai / Tidak Sesuai.
• Mandatory remark required.
• OCR must capture enum and notes accurately.
• Used for security question validation.</t>
  </si>
  <si>
    <t>Dibuat Oleh (Visitor name  &amp; Role)</t>
  </si>
  <si>
    <t>• Accept free-text for visitor’s name and position.
• Allow letters, punctuation, and spaces.
• OCR must capture both name and job title clearly.</t>
  </si>
  <si>
    <t xml:space="preserve">[BLANK] / [BLANK] </t>
  </si>
  <si>
    <t xml:space="preserve">Chairul / (SBM) </t>
  </si>
  <si>
    <t>Diterima Oleh (Penerima name &amp; Supervisor name/ Head of Operations)</t>
  </si>
  <si>
    <t>• Accept free-text for supervisor name and title.
• Allow letters, punctuation, and spaces.
• OCR must detect both parts accurately.</t>
  </si>
  <si>
    <t>[BLANK] / Supervisor</t>
  </si>
  <si>
    <t>Anastasia (Supervisor)</t>
  </si>
  <si>
    <t>Tanda tangan pembuat (visitor)</t>
  </si>
  <si>
    <t>Image / Binary (signature image)</t>
  </si>
  <si>
    <t>• Must be handwritten signature (not typed).
• OCR must classify as signature area.
• System must record signer identity and timestamp.</t>
  </si>
  <si>
    <r>
      <rPr>
        <u/>
        <sz val="11"/>
        <color rgb="FF000000"/>
        <rFont val="Calibri"/>
        <family val="2"/>
      </rPr>
      <t xml:space="preserve">Available
[Just for Reference] </t>
    </r>
    <r>
      <rPr>
        <u/>
        <sz val="11"/>
        <color rgb="FF0563C1"/>
        <rFont val="Calibri"/>
        <family val="2"/>
      </rPr>
      <t>here</t>
    </r>
  </si>
  <si>
    <t>Tanda tangan penerima (supervisor)</t>
  </si>
  <si>
    <t>• Must show supervisor’s signature or e-sign approval.
• OCR must detect signature presence.
• Store with approver’s name, role, and timestamp.</t>
  </si>
  <si>
    <t>[BLANK]</t>
  </si>
  <si>
    <t>Stempel konfirmasi (by supervisor/same-level)</t>
  </si>
  <si>
    <t>Image / Binary (stamp)</t>
  </si>
  <si>
    <r>
      <rPr>
        <sz val="11"/>
        <color rgb="FFFF0000"/>
        <rFont val="Calibri"/>
        <family val="2"/>
      </rPr>
      <t xml:space="preserve">Must meet </t>
    </r>
    <r>
      <rPr>
        <u/>
        <sz val="11"/>
        <color rgb="FFFF0000"/>
        <rFont val="Calibri"/>
        <family val="2"/>
      </rPr>
      <t>stamp requirement</t>
    </r>
    <r>
      <rPr>
        <sz val="11"/>
        <color rgb="FFFF0000"/>
        <rFont val="Calibri"/>
        <family val="2"/>
      </rPr>
      <t xml:space="preserve"> number 22. Stamp on spv verification</t>
    </r>
  </si>
  <si>
    <t>tidak ada ketentuan untuk distempel</t>
  </si>
  <si>
    <t>Not available</t>
  </si>
  <si>
    <t>Form EDD</t>
  </si>
  <si>
    <t>Pilihan jenis transaksi</t>
  </si>
  <si>
    <t>Enum (Pembukaan hubungan usaha/EDD berkala/transaksi)</t>
  </si>
  <si>
    <t>• Restrict to enumerated values: Pembukaan Usaha, EDD Berkala, Transaksi.
• OCR must capture value clearly.
• Detect blank or invalid entries.</t>
  </si>
  <si>
    <t>Pembukaan Hubungan Usaha</t>
  </si>
  <si>
    <t xml:space="preserve">Pilihan perorangan </t>
  </si>
  <si>
    <t>Enum ( Calon Nasabah, Nasabah,  Pemilik Manfaat(Beneficial Owner), WIC.)</t>
  </si>
  <si>
    <t>• Restrict to : Calon Nasabah, Nasabah,  Pemilik Manfaat(Beneficial Owner), WIC.
• Mandatory field.
• OCR must detect correct selection.</t>
  </si>
  <si>
    <t>Calon Nasabah</t>
  </si>
  <si>
    <t>• Accept free-text for name.
• Detect letters, numbers, punctuation (., -, ').
• Trim leading/trailing spaces.
• OCR must capture full name accurately.</t>
  </si>
  <si>
    <t>Nomor CIF</t>
  </si>
  <si>
    <t>String / Numeric Identifier</t>
  </si>
  <si>
    <t>• Numeric-only value (no letters).
• Detect invalid characters.
• OCR must capture digits correctly.</t>
  </si>
  <si>
    <t>Jenis Produk / Layanan Bank</t>
  </si>
  <si>
    <t>Enum (Simas Gold, Simas Diamond, TabunganKu, Simas Digi, Simas TARA)</t>
  </si>
  <si>
    <t>• Restrict to predefined list (Simas Gold, Simas Diamond, TabunganKu, Simas Digi, Simas TARA, etc.).
• Must detect product  list.
• OCR must capture full product name.</t>
  </si>
  <si>
    <t>Tabungan Simas Diamond</t>
  </si>
  <si>
    <t>Screening – DTTOT / DPPSPM</t>
  </si>
  <si>
    <t>Enum (Ya/Tidak)</t>
  </si>
  <si>
    <t>• Restrict to Ya / Tidak (Yes/No).
• OCR must detect result clearly.</t>
  </si>
  <si>
    <t>Tidak</t>
  </si>
  <si>
    <t>Screening – Informasi Negative (News)</t>
  </si>
  <si>
    <t>Screening -Watchlist</t>
  </si>
  <si>
    <t>Screening - Tidak ditemukan</t>
  </si>
  <si>
    <t>Ya</t>
  </si>
  <si>
    <t>Kriteria High Risk – Pekerjaan</t>
  </si>
  <si>
    <t>Kriteria High Risk – Negara</t>
  </si>
  <si>
    <t>Kriteria High Risk – Bidang Usaha</t>
  </si>
  <si>
    <t>Kriteria High Risk – Politically Exposed Person</t>
  </si>
  <si>
    <t>Kriteria High Risk - Screening Watchlist</t>
  </si>
  <si>
    <t>Kriteria High Risk - Lainnya</t>
  </si>
  <si>
    <t>Ya, Nasabah Prioritas</t>
  </si>
  <si>
    <t>Hasil EDD</t>
  </si>
  <si>
    <t>string (text)</t>
  </si>
  <si>
    <t>• Accept free-text.
• Allow letters, numbers, punctuation.
• Summarize key EDD conclusions.
• OCR must capture full text clearly.</t>
  </si>
  <si>
    <t>Informasi jabatan</t>
  </si>
  <si>
    <t>• Accept free-text for occupation.
• Allow letters, numbers, punctuation.
• OCR must detect full text.</t>
  </si>
  <si>
    <t>Dosen</t>
  </si>
  <si>
    <t>Sumber kekayaan dan latar belakang dari  beneficial owner (jika ada)</t>
  </si>
  <si>
    <t>Informasi PEP pada calon nasabah/nasabah/ BO/WIC (jika ada)</t>
  </si>
  <si>
    <t>Sumber dana lainnya (jika ada)</t>
  </si>
  <si>
    <t>Jenis usaha/bidang usaha lainnya di dalam negeri ataupun di luar negeri (jika ada)</t>
  </si>
  <si>
    <t>Lokasi usaha dan status tempat usaha lainnya (jika ada)</t>
  </si>
  <si>
    <t xml:space="preserve">Informasi pendukung lainnya seperti antara lain </t>
  </si>
  <si>
    <t>Produk bank apa yang digunakan dan transaksi yang akan sering dilakukan</t>
  </si>
  <si>
    <t>Saving Account</t>
  </si>
  <si>
    <t>Apakah nasabah memiliki keuarga inti (1 layer vertikal dan horizontal) yang menjabat sebagai pejabat negara/pejabat pemerintahan</t>
  </si>
  <si>
    <t xml:space="preserve">Jika iya sebutkan </t>
  </si>
  <si>
    <t>Informasi mitra usaha calon nasabah/nasabah/BO/WIC (jika memiliki usaha, siapa dan jenis usaha dan mitra usaha tersebut)</t>
  </si>
  <si>
    <t>Informais tambahan untuk transaksi nasabah *) (diisi untuk EDD yang dilakukan terhadap transaksi nasabah)</t>
  </si>
  <si>
    <t>Hubungan nasabah dengan penerima atau pengirim atau pelaku transaksi</t>
  </si>
  <si>
    <t>Tujuan transaksi nasabah dengan penerima atau pengirim atau pelaku transaksi</t>
  </si>
  <si>
    <t>Deskripsikan keterkaitan prdil nasabah dengan transaksi yang dilakukan</t>
  </si>
  <si>
    <t>Informasi relevan launnya dari hasil EDD  yang dilakukan (jika ada)</t>
  </si>
  <si>
    <t>Informasi hasil EDD dapat dilampirkan pada formulir ini</t>
  </si>
  <si>
    <t xml:space="preserve">Nasabah Prioritas </t>
  </si>
  <si>
    <t>Nama pihak yang melakukan EDD</t>
  </si>
  <si>
    <t>• Accept free-text
• Allow letters, punctuation, and spaces.
• OCR must capture both name and job title clearly.</t>
  </si>
  <si>
    <t>Nama SPV/HO/Pejabat Setara</t>
  </si>
  <si>
    <t>• Accept free-text
• Allow letters, punctuation, and spaces.
• OCR must detect both parts accurately.</t>
  </si>
  <si>
    <t>Intan</t>
  </si>
  <si>
    <t>Tanda tanganpihak yang melakukan EDD</t>
  </si>
  <si>
    <t>• Accept valid image files.
• Must not be blank, corrupted, or mismatched.
• OCR must recognize signature region as non-text.</t>
  </si>
  <si>
    <t>Tanda tangan SPV/HO/Pejabat Setara</t>
  </si>
  <si>
    <t>Stempel verifikasi tandatangan</t>
  </si>
  <si>
    <r>
      <rPr>
        <sz val="11"/>
        <color rgb="FFFF0000"/>
        <rFont val="Calibri"/>
        <family val="2"/>
      </rPr>
      <t xml:space="preserve">Must meet </t>
    </r>
    <r>
      <rPr>
        <u/>
        <sz val="11"/>
        <color rgb="FFFF0000"/>
        <rFont val="Calibri"/>
        <family val="2"/>
      </rPr>
      <t>stamp requirement</t>
    </r>
    <r>
      <rPr>
        <sz val="11"/>
        <color rgb="FFFF0000"/>
        <rFont val="Calibri"/>
        <family val="2"/>
      </rPr>
      <t xml:space="preserve"> number 18. Stamp on nasabah signer</t>
    </r>
  </si>
  <si>
    <t>Stempel konfirmasi (by supervisor/se-level)</t>
  </si>
  <si>
    <t>Form pembukaan rekening</t>
  </si>
  <si>
    <t>Sample 4</t>
  </si>
  <si>
    <r>
      <rPr>
        <u/>
        <sz val="11"/>
        <color rgb="FF1155CC"/>
        <rFont val="Calibri"/>
        <family val="2"/>
      </rPr>
      <t>here</t>
    </r>
    <r>
      <rPr>
        <sz val="11"/>
        <color theme="1"/>
        <rFont val="Aptos Narrow"/>
        <family val="2"/>
        <scheme val="minor"/>
      </rPr>
      <t xml:space="preserve"> (form in damage)</t>
    </r>
  </si>
  <si>
    <t>Jenis Formulir</t>
  </si>
  <si>
    <t>Enum (Pembukaan rekening / Pengkinian Rekening)</t>
  </si>
  <si>
    <t>• Restrict to enumerated values (Pembukaan rekening, pengkinian rekening)
• Detect blank/invalid entries; display inline error message.</t>
  </si>
  <si>
    <t>Pembukaan Rekening</t>
  </si>
  <si>
    <t>N/A</t>
  </si>
  <si>
    <t xml:space="preserve"> Pembukaan Rekening</t>
  </si>
  <si>
    <t>Pembukaan rekening</t>
  </si>
  <si>
    <t>Kantor Cabang</t>
  </si>
  <si>
    <t>• System must accept free-text for branch name. Allow letters, numbers, and punctuation. Trim leading/trailing spaces.
• Trim leading/trailing/multiple spaces; normalize unicode accents.
• OCR must capture full line; no truncation.</t>
  </si>
  <si>
    <t>KC Makassar</t>
  </si>
  <si>
    <t>KC Tangerang</t>
  </si>
  <si>
    <t>KCP Jakarta Selatan</t>
  </si>
  <si>
    <t>KC Bogor</t>
  </si>
  <si>
    <t>KCP Jakarta Barat</t>
  </si>
  <si>
    <t>KC Bandung</t>
  </si>
  <si>
    <t>KC Malang</t>
  </si>
  <si>
    <t>KC Yogyakarta</t>
  </si>
  <si>
    <t>Tanggal</t>
  </si>
  <si>
    <t>Date (DD-Month Name-YYYY)</t>
  </si>
  <si>
    <t>• System must recognize multiple date formats (e.g. 10 Juni 2025, 10/06/2025, 2025-06-10). Transaction date must be business working days and cannot be future-dated.
• Auto-standardize to DD-MM-YYYY; validate logical ranges (not weekend/holiday, not in the future).
• Accept common separators (`/`, `-`, space); zero-pad day/month when needed.
• OCR must capture day, month (or month name), and year correctly.</t>
  </si>
  <si>
    <t>25 - 07 - 2025</t>
  </si>
  <si>
    <t>09 - 11 -2025</t>
  </si>
  <si>
    <t>12 - 09 - 2025</t>
  </si>
  <si>
    <t>05 - 09 - 2025</t>
  </si>
  <si>
    <t>11 - 09 - 2025</t>
  </si>
  <si>
    <t>Status Nasabah</t>
  </si>
  <si>
    <t>Enum (Baru/Lama)</t>
  </si>
  <si>
    <t>• Restrict to enumerated values Baru/Lama.
• Case-insensitive; store standardized code/value per master list.
• Detect blank/invalid entries; display inline error message.
• Log selection with user ID and timestamp for audit.
• Restrict to `Baru` / `Lama` per definition; do not use Yes/No; mandatory.</t>
  </si>
  <si>
    <t>Lama</t>
  </si>
  <si>
    <t>Baru</t>
  </si>
  <si>
    <t>Saya memliki rekening di Bank Sinarmas</t>
  </si>
  <si>
    <t>• Restrict to enumerated values Yes/No. Mandatory field.
• Case-insensitive
• Detect blank/invalid entries; display inline error message.</t>
  </si>
  <si>
    <t>[BLANK}</t>
  </si>
  <si>
    <t>No Rekening Bank Sinarmas</t>
  </si>
  <si>
    <t>• System must validate numeric identifier. Reject non-numeric characters.
• Accept digits (and optional spaces/dashes at input), store as clean string without separators.
• Detect non-numeric characters when numeric-only. Remove spaces if found at the beginning, middle, or end.
• OCR must capture all digits; checksum/format validation if applicable.</t>
  </si>
  <si>
    <t>0800997624</t>
  </si>
  <si>
    <t>0800997611</t>
  </si>
  <si>
    <t>0800997645</t>
  </si>
  <si>
    <t>Tipe Rekening</t>
  </si>
  <si>
    <t>Enum (Tunggal/ Gabungan)</t>
  </si>
  <si>
    <t>• Restrict to enumerated values (Tunggal, Gabungan)
• Case-insensitive; store standardized code/value per master list.
• Detectject blank/invalid entries; display inline error message.
• Log selection with user ID and timestamp for audit.</t>
  </si>
  <si>
    <t>Tunggal</t>
  </si>
  <si>
    <t>Mata Uang</t>
  </si>
  <si>
    <t>Enum (IDR/Valas)</t>
  </si>
  <si>
    <t>• Restrict to ISO 4217 3-letter codes (IDR, USD, etc.). Store in uppercase.
• Case-insensitive; store standardized code/value per master list.
• Detect blank/invalid entries; display inline error message.
• Log selection with user ID and timestamp for audit.
• Restrict to ISO 4217 codes; store uppercase; map symbol to code during OCR (e.g., `Rp`→`IDR`).</t>
  </si>
  <si>
    <t>IDR</t>
  </si>
  <si>
    <t>Bertindak Untuk</t>
  </si>
  <si>
    <t>Enum (Diri Sendiri / Beneficial  Owner)</t>
  </si>
  <si>
    <t>• Restrict to enumerated values (Diri Sendiri, Beneficial Owner). Mandatory field.
• Case-insensitive; store standardized code/value per master list.
• Detect blank/invalid entries; display inline error message.</t>
  </si>
  <si>
    <t>Diri Sendiri</t>
  </si>
  <si>
    <t>Nama Lengkap</t>
  </si>
  <si>
    <t>• System must accept free-text for full name. Allow letters, numbers, and punctuation. Trim leading/trailing spaces.
• Trim leading/trailing/multiple spaces; normalize unicode accents.
• OCR must capture full line; no truncation.</t>
  </si>
  <si>
    <t>Indah Laruna Prima</t>
  </si>
  <si>
    <t>Poko</t>
  </si>
  <si>
    <t>Dirman siswanto</t>
  </si>
  <si>
    <t>Paulus Herdiansyah</t>
  </si>
  <si>
    <t>Stuart Starshine</t>
  </si>
  <si>
    <t>Steve Captain</t>
  </si>
  <si>
    <t>Tempat / Tanggal Lahir</t>
  </si>
  <si>
    <t>String + Date (DD-Month Name-YYYY)</t>
  </si>
  <si>
    <t>Jakarta, 27-10-1988</t>
  </si>
  <si>
    <t>Sabang, 01-06-1993</t>
  </si>
  <si>
    <t>Bali, 01-12-1989</t>
  </si>
  <si>
    <t>Denpasar, 29-02-2004</t>
  </si>
  <si>
    <t>Sigli, 06-05- 1994</t>
  </si>
  <si>
    <t>Palu, 05 -07-1995</t>
  </si>
  <si>
    <t>Bandung, 13 -07-1996</t>
  </si>
  <si>
    <t>Papua, 11 -01-1999</t>
  </si>
  <si>
    <t>Bali, 13 -06-1981</t>
  </si>
  <si>
    <t>Enum (Pria / Wanita)</t>
  </si>
  <si>
    <t>• Restrict to enumerated values (Pria/Wanita). Case-insensitive.
• Case-insensitive; store standardized code/value per master list.
• Reject blank/invalid entries; display inline error message.</t>
  </si>
  <si>
    <t>Wanita</t>
  </si>
  <si>
    <t>Pria</t>
  </si>
  <si>
    <t>Status Pernikahan</t>
  </si>
  <si>
    <t>Enum (Lajang, Menikah, Duda/ Janda)</t>
  </si>
  <si>
    <t>• Restrict to enumerated values (Lajang, Menikah, Duda/janda). Case-insensitive.
• Case-insensitive; store standardized code/value per master list.
• Detect blank/invalid entries; display inline error message.</t>
  </si>
  <si>
    <t>Duda/Janda</t>
  </si>
  <si>
    <t>Lajang</t>
  </si>
  <si>
    <t>Menikah</t>
  </si>
  <si>
    <t xml:space="preserve">Lajang </t>
  </si>
  <si>
    <t>Enum (WNI / WNA)</t>
  </si>
  <si>
    <t>• Restrict to enumerated values (WNI/WNA). Case-insensitive.
 • Case-insensitive; store standardized code/value per master list.
 • Detect blank/invalid entries; display inline error message.</t>
  </si>
  <si>
    <t>Jenis Identitas</t>
  </si>
  <si>
    <t>Enum (E-KTP/Paspor)</t>
  </si>
  <si>
    <t>• Restrict to enumerated values (E-KTP/Passport). Must match code list.
 • Case-insensitive; store standardized code/value per master list.
 • Detect blank/invalid entries; display inline error message.</t>
  </si>
  <si>
    <t>E-KTP</t>
  </si>
  <si>
    <t>Nomor Identitas</t>
  </si>
  <si>
    <t>String (numerik identifikasi)</t>
  </si>
  <si>
    <t>• System must validate numeric/alphanumeric identifier. Reject invalid characters. Must match the selected Identity Type.
 • Trim leading/trailing/multiple spaces; normalize unicode accents.
 • OCR must capture full line; no truncation. Remove spaces if found at the beginning, middle, or end.
 • Accept digits (and optional spaces/dashes at input)
 • OCR must capture all digits; checksum/format validation if applicable.</t>
  </si>
  <si>
    <t>38968727108800090</t>
  </si>
  <si>
    <t>3777891106930010</t>
  </si>
  <si>
    <t>3273009988123456</t>
  </si>
  <si>
    <t>3112233445564001</t>
  </si>
  <si>
    <t>5177888899001140</t>
  </si>
  <si>
    <t>3400112299445501</t>
  </si>
  <si>
    <t>Berlaku s/d</t>
  </si>
  <si>
    <t>• Accept either “SEUMUR HIDUP” or valid date (DD-MM-YYYY).
• System must detect and interpret both formats.
• OCR must not confuse text as date.</t>
  </si>
  <si>
    <t>Seumur Hidup</t>
  </si>
  <si>
    <t>Jenis identitas pendukung</t>
  </si>
  <si>
    <t>Enum (KITAP, KITAS, Lainnya)</t>
  </si>
  <si>
    <t>• Restrict to enumerated values (KITAP, KITAS, Lainnya). Optional field.
 • Case-insensitive
 • Detect blank/invalid entries.</t>
  </si>
  <si>
    <t>Nomor Identitas Pendukung</t>
  </si>
  <si>
    <t>• System must validate numeric/alphanumeric identifier. Must match the selected Supporting Identity Type. Optional
 • Trim leading/trailing/multiple spaces; normalize unicode accents.
 • OCR must capture full line; no truncation.
 • Accept digits (and optional spaces/dashes at input), store as clean string without separators.
 • OCR must capture all digits; checksum/format validation if applicable.</t>
  </si>
  <si>
    <t>Nomor Identitas Pendukung Berlaku s/d</t>
  </si>
  <si>
    <t>No. TIN/SSN</t>
  </si>
  <si>
    <t>String (text, numerik identifikasi)</t>
  </si>
  <si>
    <t xml:space="preserve">• Fill if customer mark as WNA
• accept string / alphanumeric
• Accept digits (and optional spaces/dashes at input)
• OCR must capture all digits; checksum/format validation if applicable.
</t>
  </si>
  <si>
    <t>Nama Gadis Ibu kandung</t>
  </si>
  <si>
    <t>• Accept letters, punctuation, and spaces.
• OCR must capture both name and position.
• Trim extra spaces.
• Detect numeric-only or missing role titles.</t>
  </si>
  <si>
    <t>Purwanti</t>
  </si>
  <si>
    <t>Sri Pujianty</t>
  </si>
  <si>
    <t>Melly</t>
  </si>
  <si>
    <t>Pochajung</t>
  </si>
  <si>
    <t>Susana</t>
  </si>
  <si>
    <t>Andriana</t>
  </si>
  <si>
    <t>Stevani</t>
  </si>
  <si>
    <t>Sunshine</t>
  </si>
  <si>
    <t>Shinar</t>
  </si>
  <si>
    <t>NPWP (jika ada)</t>
  </si>
  <si>
    <t>Enum (Sama dengan E-KTP, Jika berbeda mohon dicantumkan)</t>
  </si>
  <si>
    <t>• Detect enum if (Sama dengan E-KTP or jika berbeda mohon dicantumkan)
• Validate NPWP structure 99.999.999.9-999.999 or same NIK formatAccept only digits and allowed separators (., -).
• OCR must detect all digits and separators.</t>
  </si>
  <si>
    <t>Sama dengan E-KTP</t>
  </si>
  <si>
    <t>Alamat Tempat Tinggal (Sama/Berbeda)</t>
  </si>
  <si>
    <t>Enum (Sama dengan E-KTP/Berbeda)</t>
  </si>
  <si>
    <t>• Detect opsion that mark by customer(Sama dengan E-KTP or Berbeda)</t>
  </si>
  <si>
    <t>Berbeda</t>
  </si>
  <si>
    <t>Alamat Terkini</t>
  </si>
  <si>
    <t>• Accept free-text with letters, numbers, commas, and punctuation.
• Trim and normalize spaces.
• OCR must capture full address line without truncation.
• Detect incomplete or unreadable entries.
• Can be empty if alamat same as eKTP</t>
  </si>
  <si>
    <t>Jl Perempatan 7 10F</t>
  </si>
  <si>
    <t>Jl kemerdekaan No. 35</t>
  </si>
  <si>
    <t>String / Numeric</t>
  </si>
  <si>
    <t>• Accept numeric values up to 3 digits.
• System must auto left-pad with zeros (e.g., 4 → 004).
• OCR must read all digits correctly.
• Can be empty if alamat same as eKTP</t>
  </si>
  <si>
    <t>• Same as RT rules.
• System must auto left-pad with zeros (e.g., 4 → 004).
• Reject if contains letters or symbols.
• Can be empty if alamat same as eKTP</t>
  </si>
  <si>
    <t>Kelurahan</t>
  </si>
  <si>
    <t>• Allow characters/string and letters, numbers, punctuation, and spaces.
• OCR must capture full text (no truncation).
• Can be empty if alamat same as eKTP</t>
  </si>
  <si>
    <t>Karang Kidul</t>
  </si>
  <si>
    <t>Babakan Madang</t>
  </si>
  <si>
    <t>• Same as Kelurahan.
• OCR must not split words incorrectly.
• Can be empty if alamat same as eKTP</t>
  </si>
  <si>
    <t>Semarang Tengah</t>
  </si>
  <si>
    <t>Kota</t>
  </si>
  <si>
    <t>• Accept text only (letters + spaces).
• Trim extra spaces.
• OCR must capture full city/place name.
• Detect numeric or symbol-only input.
• Can be empty if alamat same as eKTP</t>
  </si>
  <si>
    <t xml:space="preserve">Semarang </t>
  </si>
  <si>
    <t>Kab Bogor</t>
  </si>
  <si>
    <t>Kode Pos</t>
  </si>
  <si>
    <t>• Accept numeric postal code
• Reject non-numeric or empty fields.
• OCR must capture digits accurately.
• Can be empty if alamat same as eKTP</t>
  </si>
  <si>
    <t>Provinsi</t>
  </si>
  <si>
    <t>Jawa Tengah</t>
  </si>
  <si>
    <t>Jawa Barat</t>
  </si>
  <si>
    <t>Alamat Surat Menyurat</t>
  </si>
  <si>
    <t>Enum (Sama dengan E-KTP, Kantor, Tempat Tinggal)</t>
  </si>
  <si>
    <t>• Restrict to enumerated values (Sama dengan E-KTP, Kantor, dan Tempat Tinggal Terkini).
• Detect blank/invalid entries; display inline error message.</t>
  </si>
  <si>
    <t>Tempat tinggal terkini</t>
  </si>
  <si>
    <t>Status Tempat Tinggal</t>
  </si>
  <si>
    <t>Enum (Milik Sendiri, Milik Orang Tua,  Sewa/Kost,  Instansi/Dinas)</t>
  </si>
  <si>
    <t>• Restrict to enumerated values (Milik Sendiri, Milik Orang Tua, Sewa/Kost, Instansi/Dinas)
 • Detect blank/invalid entries; display inline error message.</t>
  </si>
  <si>
    <t>Milik Sendiri</t>
  </si>
  <si>
    <t>Milik Orang Tua</t>
  </si>
  <si>
    <t>Sewa/Kost</t>
  </si>
  <si>
    <t>Pendidikan</t>
  </si>
  <si>
    <t>Enum (SD, SMP, SMA/SMK, Diploma, S1,  S2, S3)</t>
  </si>
  <si>
    <t>S1</t>
  </si>
  <si>
    <t>SMA/SMK</t>
  </si>
  <si>
    <t>S2</t>
  </si>
  <si>
    <t>Nomor Telepon Rumah</t>
  </si>
  <si>
    <t>• System must accept free-text for phone numbers including +/spaces/parentheses/dashes.
 • Trim leading/trailing/multiple spaces; normalize unicode accents.</t>
  </si>
  <si>
    <t>No Handphone/Seluler</t>
  </si>
  <si>
    <t>• System must accept digit for phone numbers including +/spaces/parentheses/dashes.
 • Trim leading/trailing/multiple spaces; normalize unicode accents.</t>
  </si>
  <si>
    <t>088888999963</t>
  </si>
  <si>
    <t>081122987654</t>
  </si>
  <si>
    <t>08573950127</t>
  </si>
  <si>
    <t>085612345678</t>
  </si>
  <si>
    <t>081701201439</t>
  </si>
  <si>
    <t>082211223300</t>
  </si>
  <si>
    <t>081234567891</t>
  </si>
  <si>
    <t>081122334455</t>
  </si>
  <si>
    <t>082345678910</t>
  </si>
  <si>
    <t>Email</t>
  </si>
  <si>
    <t>• System must validate email format.
 • Trim leading/trailing/multiple spaces; normalize unicode accents.
 • Validate email format (RFC 5322); lowercase domain; reject disposable domains if policy applies.</t>
  </si>
  <si>
    <t>indahLP@gmail.com</t>
  </si>
  <si>
    <t>llraharjaa12@gmail.com</t>
  </si>
  <si>
    <t>pokopoko10@gmail.com</t>
  </si>
  <si>
    <t>dirdiroimann@gmail.com</t>
  </si>
  <si>
    <t>birdless@gmuLL.com</t>
  </si>
  <si>
    <t>pauls123@yahoo.com</t>
  </si>
  <si>
    <t>stuarstar@yahui.com</t>
  </si>
  <si>
    <t>stevecap@yuhuu.com</t>
  </si>
  <si>
    <t>Pekerjaan Utama</t>
  </si>
  <si>
    <t>Enum (Pegawai Negeri, Pegawai Swasta, Pelajar/Mahasiswa, Wiraswasta, Profesional, Ibu Rumah Tangga, Pensiunan, Lainnya)</t>
  </si>
  <si>
    <t>• Restrict to enumerated values (Pegawai Negeri, Pegawai Swasta, Pelajar/Mahasiswa, Wiraswasta, Profesional, Ibu Rumah Tangga, Pensiunan, Lainnya).
 • Case-insensitive; store standardized code/value per master list.
 • Detect blank/invalid entries; display inline error message.</t>
  </si>
  <si>
    <t>Wiraswasta</t>
  </si>
  <si>
    <t>Lainnya, Dosen</t>
  </si>
  <si>
    <t>Pegawai Swasta</t>
  </si>
  <si>
    <t>Lainnya, Tentara</t>
  </si>
  <si>
    <t>Pegawai swasta</t>
  </si>
  <si>
    <t>Satus Pekerjaan</t>
  </si>
  <si>
    <t>Enum (Tetap, Paruh Waktu, Kontrak, Honorer, Lainnya)</t>
  </si>
  <si>
    <t>• Restrict to enumerated values (Tetap, Paruh Waktu, Kontrak, Honorer, Lainnya)
 • Detect blank/invalid entries; display inline error message.</t>
  </si>
  <si>
    <t>Tetap</t>
  </si>
  <si>
    <t>tetap</t>
  </si>
  <si>
    <t>Bidang Usaha</t>
  </si>
  <si>
    <t>Enum (Jasa Keuangan, Industri, Pemerintahan, Pedagang, Non Pemerintahan, Lainnya)</t>
  </si>
  <si>
    <t>• Restrict to enumerated values (Jasa Keuangan, Industri, Pemerintahan, Pedagang, Non Pemerintahan, Lainnya)
 • Detect blank/invalid entries; display inline error message.</t>
  </si>
  <si>
    <t>Pedagang</t>
  </si>
  <si>
    <t>Lainnya, Pendidikan</t>
  </si>
  <si>
    <t>Industri</t>
  </si>
  <si>
    <t>Jasa Keuangan</t>
  </si>
  <si>
    <t>Lainnya, toko Emas</t>
  </si>
  <si>
    <t>Nama Perusahaan</t>
  </si>
  <si>
    <t>• Accept free-text for company name.
• Allow letters, numbers, and punctuation (e.g., “&amp;”, “.”, “-”).
• Trim leading and trailing spaces.
• OCR must capture uppercase and lowercase letters correctly.
• Reject empty or symbol-only inputs.</t>
  </si>
  <si>
    <t>Toko Sana Sini</t>
  </si>
  <si>
    <t>Universitas Rekayasa</t>
  </si>
  <si>
    <t>PT Sinar Terang</t>
  </si>
  <si>
    <t>Toko Sembako Poko Poko</t>
  </si>
  <si>
    <t>TNI</t>
  </si>
  <si>
    <t>Bank Bandung Jaya</t>
  </si>
  <si>
    <t>Indogrosir</t>
  </si>
  <si>
    <t>Toko Mas Kemurnian Baru</t>
  </si>
  <si>
    <t>Toko Sembako usaha Jaya</t>
  </si>
  <si>
    <t>Jabatan</t>
  </si>
  <si>
    <t>Owner</t>
  </si>
  <si>
    <t>Pemilik (Owner)</t>
  </si>
  <si>
    <t>Sersan Satu</t>
  </si>
  <si>
    <t>Branch Manager</t>
  </si>
  <si>
    <t>Supervisor</t>
  </si>
  <si>
    <t>Supervisor Toko</t>
  </si>
  <si>
    <t>Bekerja Sejak</t>
  </si>
  <si>
    <t>• Accept multiple date formats (YYYY-MM-DD, DD/MM/YYYY, DD-MM-YYYY). Month year only, year only
• Validate date ≤ today’s date (no future entries).
• OCR must detect full numeric components.</t>
  </si>
  <si>
    <t>Januari 2013</t>
  </si>
  <si>
    <t>Alamat kantor</t>
  </si>
  <si>
    <t>• Accept free-text with letters, numbers, commas, and punctuation.
• Trim and normalize spaces.
• OCR must capture full address line without truncation.
• Reject incomplete or unreadable entries.</t>
  </si>
  <si>
    <t>Jl Mesjid Raya No.30 RT:011/RW:007</t>
  </si>
  <si>
    <t>Jl Soekarno Hatta-Semarang</t>
  </si>
  <si>
    <t>Jl. Raya pasar Minggu No 211</t>
  </si>
  <si>
    <t>Jl. Kejaksaan No. 22 RT 001 RW 008</t>
  </si>
  <si>
    <t>Mako Brimob Kwitang, Senen</t>
  </si>
  <si>
    <t>Jl. KH Juanda</t>
  </si>
  <si>
    <t>Jl Batu Malang No 12</t>
  </si>
  <si>
    <t>Pasar Anyar Ruko Baru No 35</t>
  </si>
  <si>
    <t>Jl kemerdekaan No 204</t>
  </si>
  <si>
    <t>Kota Alamat kantor</t>
  </si>
  <si>
    <t>• Accept text only (letters + spaces).
• Trim extra spaces.
• OCR must capture full city/place name.
• Detect numeric or symbol-only input.</t>
  </si>
  <si>
    <t>Gowa</t>
  </si>
  <si>
    <t>Jakarta Selatan</t>
  </si>
  <si>
    <t>Bogor</t>
  </si>
  <si>
    <t>Jakarta Pusat</t>
  </si>
  <si>
    <t>Bandung</t>
  </si>
  <si>
    <t>Malang</t>
  </si>
  <si>
    <t>Yogyakarta</t>
  </si>
  <si>
    <t>Kode Pos Alamat kantor</t>
  </si>
  <si>
    <t>String (numeric, text)</t>
  </si>
  <si>
    <t>• Accept numeric postal code
• Reject non-numeric or empty fields.
• OCR must capture digits accurately.</t>
  </si>
  <si>
    <t>Provinsi Kantor</t>
  </si>
  <si>
    <t>Sulawesi Selatan</t>
  </si>
  <si>
    <t>DKI Jakarta</t>
  </si>
  <si>
    <t>Jawa Timur</t>
  </si>
  <si>
    <t>DI Yogyakarta</t>
  </si>
  <si>
    <t>No. Telp Alamat Kantor (Nexus-&gt; No. Telp)</t>
  </si>
  <si>
    <t>ext Kantor (on Nexus ext)</t>
  </si>
  <si>
    <t>• System must accept free-text for extension number.
 • Trim leading/trailing/multiple spaces; normalize unicode accents.
 • OCR must capture full line; no truncation.</t>
  </si>
  <si>
    <t>Pendapatan per Bulan</t>
  </si>
  <si>
    <t>Enum (s/dRp5 Juta, &gt;Rp5Juta-10 Juta, &gt;Rp10Juta-25 Juta, &gt;Rp25Juta-Rp50Juta,&gt;50Juta-Rp100Juta, &gt;100Juta)</t>
  </si>
  <si>
    <t>• Restrict to enumerated ranges (s/dRp5 Juta, &gt;Rp5Juta-10 Juta, &gt;Rp10Juta-25 Juta, &gt;Rp25Juta-Rp50Juta,&gt;50Juta-Rp100Juta, &gt;100Juta)
 • Detect blank/invalid entries; display inline error message.</t>
  </si>
  <si>
    <t>&gt;Rp10Juta-Rp 25Juta</t>
  </si>
  <si>
    <t>Rp5Juta-Rp10Juta</t>
  </si>
  <si>
    <t>&gt;Rp10 juta – Rp25 juta</t>
  </si>
  <si>
    <t>&gt;Rp25 juta – Rp50 juta</t>
  </si>
  <si>
    <t>&gt;Rp10Juta-Rp25Juta</t>
  </si>
  <si>
    <t>&gt;Rp5Juta-Rp10Juta</t>
  </si>
  <si>
    <t>Tujuan Pembukaan Rekening</t>
  </si>
  <si>
    <t>Enum (Simpanan, Keperluan Pribadi, Keperluan Usaha, Lainnya)</t>
  </si>
  <si>
    <t>• Restrict to enumerated purposes (Simpanan, Keperluan Pribadi, Keperluan Usaha, Lainnya)
 • Case-insensitive; store standardized code/value per master list.
 • Detect blank/invalid entries; display inline error message.</t>
  </si>
  <si>
    <t>Simpanan</t>
  </si>
  <si>
    <t>Sumber Dana</t>
  </si>
  <si>
    <t>Enum (Penghasilan, Pinjaman, Bisnis, Lainnya)</t>
  </si>
  <si>
    <t>• Restrict to enumerated sources (Penghasilan, Pinjaman, Bisnis, Lainnya)
 • Case-insensitive; store standardized code/value per master list.
 • Detect blank/invalid entries; display inline error message.</t>
  </si>
  <si>
    <t>Penghasilan</t>
  </si>
  <si>
    <t>Bisnis</t>
  </si>
  <si>
    <t>Sumber Penghasilan Tambahan</t>
  </si>
  <si>
    <t>Enum (Investasi, Warisan, Lainnya)</t>
  </si>
  <si>
    <t xml:space="preserve">• Restrict to enumerated sources (Investasi, Warisan, Lainnya)
 • Case-insensitive; store standardized code/value per master list.
 • Detect blank/invalid entries; display inline error message.
</t>
  </si>
  <si>
    <t>Rata-rata penghasilan tambahan per bulan (jika ada)</t>
  </si>
  <si>
    <t>• Restrict to enumerated ranges (s/dRp5 Juta, &gt;Rp5Juta-10 Juta, &gt;Rp10Juta-25 Juta, &gt;Rp25Juta-Rp50Juta,&gt;50Juta-Rp100Juta, &gt;100Juta)
 • Case-insensitive; store standardized code/value per master list.
 • Detect blank/invalid entries; display inline error message.</t>
  </si>
  <si>
    <t>11-20 Kali</t>
  </si>
  <si>
    <t>s/d Rp5Juta</t>
  </si>
  <si>
    <t>Frekuensi Transaksi Per Bulan (Debit &amp; Kredit)</t>
  </si>
  <si>
    <t>Enum (0-10 kali, 11-20 kali, 21-30 kali, &gt;30 kali)</t>
  </si>
  <si>
    <t>• Restrict to enumerated ranges (0-10 kali, 11-20 kali, 21-30 kali, &gt;30 kali)
 • Case-insensitive; store standardized code/value per master list.
 • Detect  blank/invalid entries; display inline error message.</t>
  </si>
  <si>
    <t>11-20 kali</t>
  </si>
  <si>
    <t>10–20 Kali</t>
  </si>
  <si>
    <t>0-10 Kali</t>
  </si>
  <si>
    <t>0-10 kali</t>
  </si>
  <si>
    <t>21-30 Kali</t>
  </si>
  <si>
    <t>Rata-Rata Transaksi Per Bulan (Debit &amp; Kredit)</t>
  </si>
  <si>
    <t>Enum (RP 5 Juta, Rp 10 Juta, RP 25Juta, Rp 50Juta, Rp 100 Juta, &gt; Rp100juta)</t>
  </si>
  <si>
    <t>• Restrict to enumerated ranges (RP 5 Juta, Rp 10 Juta, RP 25Juta, Rp 50Juta, Rp 100 Juta, &gt; Rp100juta)
 • Case-insensitive; store standardized code/value per master list.
 • Detect blank/invalid entries; display inline error message.</t>
  </si>
  <si>
    <t>Rp10Juta</t>
  </si>
  <si>
    <t>Rp10 juta</t>
  </si>
  <si>
    <t>Rp25Juta</t>
  </si>
  <si>
    <t>Rp10 Juta</t>
  </si>
  <si>
    <t xml:space="preserve">Rp5Juta    </t>
  </si>
  <si>
    <t>Fasilitas Layanan</t>
  </si>
  <si>
    <t>Enum (Kartu ATM/Debit, Mobile Banking, Internet Banking, Phone Banking)</t>
  </si>
  <si>
    <t>• Restrict to enumerated facilities (Kartu ATM/Debit, Mobile Banking, Internet Banking, Phone Banking). Multiple selections allowed. Mandatory field.
 • Case-insensitive; store standardized code/value per master list.
 • Detect blank/invalid entries; display inline error message.</t>
  </si>
  <si>
    <t>Kartu ATM/Debit</t>
  </si>
  <si>
    <t>Kartu ATM/Debit, Mobile Banking</t>
  </si>
  <si>
    <t>No. Kartu ATM/Debit</t>
  </si>
  <si>
    <t>String (text, numeric identifier)</t>
  </si>
  <si>
    <t>• Accept only numeric or alphanumeric characters.
• Strip spaces/dashes before saving.
• OCR must capture all digits clearly.</t>
  </si>
  <si>
    <t>1234 5678 9101 2244</t>
  </si>
  <si>
    <t>1234 5678 9101 2222</t>
  </si>
  <si>
    <t>1234 5678 9101 2233</t>
  </si>
  <si>
    <t>1234 5678 9101 2355</t>
  </si>
  <si>
    <t>1234 5678 9101 2254</t>
  </si>
  <si>
    <t>PIN Maker ID</t>
  </si>
  <si>
    <t>• System validate numeric/string identifier. Detect non-numeric characters.
 • Accept digits (and optional spaces/dashes at input), store as clean string without separators.</t>
  </si>
  <si>
    <t>Token ID</t>
  </si>
  <si>
    <t>SMS Notidikasi</t>
  </si>
  <si>
    <t>Saya memiliki kewajiban pajak di negara lain (selain indonesia)</t>
  </si>
  <si>
    <t xml:space="preserve">• Restrict to enumerated values Ya if customer have and let it blank if customer dont have.
 • Checlist: Yes, Blank: No. 
 • Case-insensitive; store standardized code/value per master list.
 • Reject blank/invalid entries
</t>
  </si>
  <si>
    <t>Checklist Persetujuan</t>
  </si>
  <si>
    <t>Enum (Setuju/Tidak Setuju)</t>
  </si>
  <si>
    <t>• Restrict to enumerated values Setuju/Tidak Setuju
 • Detect blank/invalid entries</t>
  </si>
  <si>
    <t>Setuju</t>
  </si>
  <si>
    <t>Tidak Setuju</t>
  </si>
  <si>
    <t>Kota Checklist Persetujuan</t>
  </si>
  <si>
    <t>• Accept text only (letters + spaces).
• Trim extra spaces.
• OCR must capture full city/place name.
• Reject numeric or symbol-only input.</t>
  </si>
  <si>
    <t>Makassar</t>
  </si>
  <si>
    <t>Jakarta</t>
  </si>
  <si>
    <t>Tanggal Checklist Persetujuan</t>
  </si>
  <si>
    <t>09 - 09 - 2025</t>
  </si>
  <si>
    <t>Nama nasabah</t>
  </si>
  <si>
    <t>• Accept free-text
• OCR must capture full name without truncation.
• Reject numeric only or incomplete input.</t>
  </si>
  <si>
    <t>Tanda tangan nasabah</t>
  </si>
  <si>
    <t>• Upload image/binary (PNG/JPG)
 • Must be a real handwritten signature/stamp (no typed font)
 •  OCR should classify as non-text region</t>
  </si>
  <si>
    <r>
      <t xml:space="preserve">Available
[Just for Reference] </t>
    </r>
    <r>
      <rPr>
        <u/>
        <sz val="11"/>
        <color rgb="FF0563C1"/>
        <rFont val="Calibri"/>
        <family val="2"/>
      </rPr>
      <t>here</t>
    </r>
  </si>
  <si>
    <t>Materai</t>
  </si>
  <si>
    <t>• Must show valid denomination text (“Rp10 000”).
• Validate if thats real materai/not fake
• Reject blank or cropped image.</t>
  </si>
  <si>
    <t>• System must validate numeric identifier. 
 • Accept digits (and optional spaces/dashes at input), store as clean string without separators..
 • OCR must capture all digits</t>
  </si>
  <si>
    <t>000076</t>
  </si>
  <si>
    <t>00091</t>
  </si>
  <si>
    <t>Kode Golongan</t>
  </si>
  <si>
    <t>• System must validate numeric identifier. 
 • Accept digits (and optional spaces/dashes at input), store as clean string without separators.
 • OCR must capture all digits; checksum/format validation if applicable.</t>
  </si>
  <si>
    <t>Keterkaitan Dengan Bank Sinarmas</t>
  </si>
  <si>
    <t>Enum (Terkait / Tidak Terkait)</t>
  </si>
  <si>
    <t>• Restrict to enumerated values Terkait/Tidak Terkait
 • Case-insensitive; store standardized code/value per master list.
 • Detect blank/invalid entries; display inline error message.
 • Log selection with user ID and timestamp for audit.</t>
  </si>
  <si>
    <t>Tidak Terkait</t>
  </si>
  <si>
    <t>Terkait</t>
  </si>
  <si>
    <t>Pemeriksaan DHN</t>
  </si>
  <si>
    <t>Enum (Ya / Tidak)</t>
  </si>
  <si>
    <t>• Restrict to enumerated values Ya/Tidak
 • Case-insensitive; store standardized code/value per master list.
 • Detect blank/invalid entries; display inline error message.</t>
  </si>
  <si>
    <t>Kategori Risiko</t>
  </si>
  <si>
    <t>Enum (Risiko Tinggi, RIsiko Sedang, Risiko Rendah)</t>
  </si>
  <si>
    <t>• Restrict to enumerated values Risiko Tinggi, RIsiko Sedang, Risiko Rendah
 • Case-insensitive; store standardized code/value per master list.
 • Detect blank/invalid entries; display inline error message.</t>
  </si>
  <si>
    <t>Risiko Sedang</t>
  </si>
  <si>
    <t>Risiko Rendah</t>
  </si>
  <si>
    <t>Sektor</t>
  </si>
  <si>
    <t>Enum (Individual, Personal, Lainnya)</t>
  </si>
  <si>
    <t>• Restrict to enumerated values (Individual, Personal, Lainnya). Other: Must match code list
 • Case-insensitive; store standardized code/value per master list.
 • Detect blank/invalid entries; display inline error message.</t>
  </si>
  <si>
    <t>• System must accept free-text for industry type. Allow letters and punctuation. 
 • Trim leading/trailing/multiple spaces; normalize unicode accents.
 • OCR must capture full line; no truncation.</t>
  </si>
  <si>
    <t>Pengolahan Makanan</t>
  </si>
  <si>
    <t xml:space="preserve">Perdagangan </t>
  </si>
  <si>
    <t>Perdagangan</t>
  </si>
  <si>
    <t>Perdagangan Emas</t>
  </si>
  <si>
    <t>Target</t>
  </si>
  <si>
    <t>• System must accept free-text for target type. Allow letters and punctuation. Optional field.
 • Trim leading/trailing/multiple spaces; normalize unicode accents.
 • OCR must capture full line; no truncation.</t>
  </si>
  <si>
    <t>Private Client Standard</t>
  </si>
  <si>
    <t>Private Client Standart</t>
  </si>
  <si>
    <t>Referensi dari</t>
  </si>
  <si>
    <t>Enum (Walk In Customer, Marketing, Lainnya)</t>
  </si>
  <si>
    <t>• Restrict to enumerated values (Walk In Customer, Marketing, Lainnya)
 • Detect blank/invalid entries; display inline error message.</t>
  </si>
  <si>
    <t>Walk in Customer/Datang ke cabang Pkl 09:23</t>
  </si>
  <si>
    <t>Marketng</t>
  </si>
  <si>
    <t>Marketing</t>
  </si>
  <si>
    <t>Walk in Customer Payroll Indogrosir</t>
  </si>
  <si>
    <t>Walk in Customer Payroll Toko Mas Kemurnian</t>
  </si>
  <si>
    <t>Walk in Customer, nasabah reaktivasi</t>
  </si>
  <si>
    <t>Kode Marketing</t>
  </si>
  <si>
    <t>• System must accept free-text for marketing code. Optional field.
 • Trim leading/trailing/multiple spaces; normalize unicode accents.
 • OCR must capture full line; no truncation.</t>
  </si>
  <si>
    <t>Imas (123456)</t>
  </si>
  <si>
    <t>012345</t>
  </si>
  <si>
    <t>Lainnya, sebutkan</t>
  </si>
  <si>
    <t>• System must accept free-text for other documents description.
 • Trim leading/trailing/multiple spaces; normalize unicode accents.
 • OCR must capture full line; no truncation.</t>
  </si>
  <si>
    <t>Dokumen Wajib – Fotocopy E-KTP/Paspor</t>
  </si>
  <si>
    <t>Enum(Ya/Tidak)</t>
  </si>
  <si>
    <t>• Restrict to enumerated values Ya/Tidak. Must record result.
 • Case-insensitive
 • Detect blank/invalid entries; still accepted if it blank, mean no need to attach this document again</t>
  </si>
  <si>
    <t>Fotokopi EKTP</t>
  </si>
  <si>
    <t>Dokumen Wajib – Fotocopy NPWP</t>
  </si>
  <si>
    <t>Enum  (Ya/Tidak)</t>
  </si>
  <si>
    <t>Dokumen Wajib – Lainnya, sebutkan</t>
  </si>
  <si>
    <t>• System must accept free-text for description of other mandatory documents. Detect the mentioned "Lainnya" by customer
 • Trim leading/trailing/multiple spaces; normalize unicode accents.
 • OCR must capture full line; no truncation.
 • Detect blank/invalid entries; still accepted if it blank, mean no need to attach this document again</t>
  </si>
  <si>
    <t>Lainnya, Surat Referensi</t>
  </si>
  <si>
    <t>lainnya, Surat Referensi</t>
  </si>
  <si>
    <t>Nama Customer Service</t>
  </si>
  <si>
    <t>Rani</t>
  </si>
  <si>
    <t>Dika</t>
  </si>
  <si>
    <t>Seni</t>
  </si>
  <si>
    <t>Eni</t>
  </si>
  <si>
    <t>Sinar</t>
  </si>
  <si>
    <t>Tanggal Diproses oleh Customer Service</t>
  </si>
  <si>
    <t>• Accept multiple date formats (09/10/2025).
• System must auto-convert to standard DD/MM/YYYY.
• Date must be a valid business working day and not future-dated.
• OCR must correctly extract day, month, and year digits.
• Detect invalid or impossible dates.</t>
  </si>
  <si>
    <t>10 / 06/ 2025</t>
  </si>
  <si>
    <t>25/07/2025</t>
  </si>
  <si>
    <t xml:space="preserve"> 09/09 / 2025</t>
  </si>
  <si>
    <t>12 / 09/ 2025</t>
  </si>
  <si>
    <t>05 /09 /2025</t>
  </si>
  <si>
    <t>11 / 09 / 2025</t>
  </si>
  <si>
    <t>Nama Supervisor / Kepala Operasional /Pimpinan Cabang</t>
  </si>
  <si>
    <t>Juni</t>
  </si>
  <si>
    <t>Anastasia</t>
  </si>
  <si>
    <t>Stevi</t>
  </si>
  <si>
    <t>Audy</t>
  </si>
  <si>
    <t>Tanggal Diperiksa oleh Supervisor / Kepala Operasional/Pimpinan Cabang</t>
  </si>
  <si>
    <t>• Accept multiple input formats (e.g. 1/6/1993, 01-06-1993, DD-MMM-YYYY, YYYY-MM-DD or other valid format of date).
• System auto-converts to DD-MM-YYYY format.
• Date must be a valid business working day and not future dated
• OCR must correctly extract day, month, and year even with mixed language formats.
• Reject invalid or impossible dates.</t>
  </si>
  <si>
    <t>20-08-2025</t>
  </si>
  <si>
    <t>06/ 08 / 2025</t>
  </si>
  <si>
    <t>09/09/2025</t>
  </si>
  <si>
    <t>12 / 09 / 2025</t>
  </si>
  <si>
    <t>05/09/2025</t>
  </si>
  <si>
    <t>11 / 09/ 2025</t>
  </si>
  <si>
    <t>Persetujuan Supervisor</t>
  </si>
  <si>
    <t>Enum (Setuju / Tidak Setuju)</t>
  </si>
  <si>
    <t>• Restrict to enumerated values Setuju/Tidak Setuju.
 • Case-insensitive; store standardized code/value per master list.
 • Detect blank/invalid entries; display inline error message.</t>
  </si>
  <si>
    <t>Tanda tanganpihak Customer service</t>
  </si>
  <si>
    <t>Available
[Just for Reference] here</t>
  </si>
  <si>
    <t>Tanda tangan Supervisor / Kepala Operasional /Pimpinan Cabang</t>
  </si>
  <si>
    <r>
      <t xml:space="preserve">Must meet </t>
    </r>
    <r>
      <rPr>
        <u/>
        <sz val="11"/>
        <color rgb="FF1155CC"/>
        <rFont val="Calibri"/>
        <family val="2"/>
      </rPr>
      <t>stamp requirement</t>
    </r>
    <r>
      <rPr>
        <sz val="11"/>
        <color theme="1"/>
        <rFont val="Aptos Narrow"/>
        <family val="2"/>
        <scheme val="minor"/>
      </rPr>
      <t xml:space="preserve"> number 18</t>
    </r>
  </si>
  <si>
    <r>
      <t xml:space="preserve">Must meet </t>
    </r>
    <r>
      <rPr>
        <u/>
        <sz val="11"/>
        <color rgb="FF1155CC"/>
        <rFont val="Calibri"/>
        <family val="2"/>
      </rPr>
      <t>stamp requirement</t>
    </r>
    <r>
      <rPr>
        <sz val="11"/>
        <color theme="1"/>
        <rFont val="Aptos Narrow"/>
        <family val="2"/>
        <scheme val="minor"/>
      </rPr>
      <t xml:space="preserve"> number 22</t>
    </r>
  </si>
  <si>
    <t>hanya jika nasabah tidak datang ke cabang</t>
  </si>
  <si>
    <t>Stempel customer service</t>
  </si>
  <si>
    <r>
      <t xml:space="preserve">Must meet </t>
    </r>
    <r>
      <rPr>
        <u/>
        <sz val="11"/>
        <color rgb="FF1155CC"/>
        <rFont val="Calibri"/>
        <family val="2"/>
      </rPr>
      <t>stamp requirement</t>
    </r>
    <r>
      <rPr>
        <sz val="11"/>
        <color theme="1"/>
        <rFont val="Aptos Narrow"/>
        <family val="2"/>
        <scheme val="minor"/>
      </rPr>
      <t xml:space="preserve"> number 5</t>
    </r>
  </si>
  <si>
    <t>Form Riplay Simas Gold, Simas Diamond</t>
  </si>
  <si>
    <r>
      <rPr>
        <u/>
        <sz val="11"/>
        <color rgb="FF1155CC"/>
        <rFont val="Calibri"/>
        <family val="2"/>
      </rPr>
      <t>here</t>
    </r>
    <r>
      <rPr>
        <sz val="11"/>
        <color theme="1"/>
        <rFont val="Aptos Narrow"/>
        <family val="2"/>
        <scheme val="minor"/>
      </rPr>
      <t xml:space="preserve"> (Diamond)</t>
    </r>
  </si>
  <si>
    <t>Kota / Tempat Dokumen Dibuat</t>
  </si>
  <si>
    <t>Tangerang</t>
  </si>
  <si>
    <t>Tanggal Dokumen Dibuat</t>
  </si>
  <si>
    <t>06/ 08/ 2025</t>
  </si>
  <si>
    <t>22 / 09/ 2025</t>
  </si>
  <si>
    <t>05 /09/ 2025</t>
  </si>
  <si>
    <t>Nama Petugas Bank</t>
  </si>
  <si>
    <t>Tanda Tangan Petugas Bank</t>
  </si>
  <si>
    <t>Langit</t>
  </si>
  <si>
    <t>Bayu</t>
  </si>
  <si>
    <t>Paulus H</t>
  </si>
  <si>
    <t>Stuart</t>
  </si>
  <si>
    <t>Steve</t>
  </si>
  <si>
    <t>Tanda Tangan Nasabah</t>
  </si>
  <si>
    <t>Paraf/sign on every page</t>
  </si>
  <si>
    <t>• System can identify sign on every page (look at the bottom right of the page)
• Signature must be visible and not auto-generated text.
• Must correspond to name in Nasabah (Nama) field.
• OCR should confirm region classified as a signature (not text).</t>
  </si>
  <si>
    <r>
      <rPr>
        <sz val="11"/>
        <color rgb="FF000000"/>
        <rFont val="Calibri"/>
        <family val="2"/>
      </rPr>
      <t xml:space="preserve"> Available
[Just for Reference] </t>
    </r>
    <r>
      <rPr>
        <u/>
        <sz val="11"/>
        <color rgb="FF0563C1"/>
        <rFont val="Calibri"/>
        <family val="2"/>
      </rPr>
      <t>here</t>
    </r>
  </si>
  <si>
    <t>Stempel CS</t>
  </si>
  <si>
    <t>Image / Binary (stamp image)</t>
  </si>
  <si>
    <t>available</t>
  </si>
  <si>
    <t>Stempel tanda tangan</t>
  </si>
  <si>
    <t>Tanggal Cetak Dokumen</t>
  </si>
  <si>
    <t>Date (Month Name - YYYY) or (DD - Monyh Name - YYYY)</t>
  </si>
  <si>
    <t>• Accept MMM-YYYY format Only or DD Month name and YYYY
• Detect invalid or empty date (e.g 13/13/2025)</t>
  </si>
  <si>
    <t>Juni 2025</t>
  </si>
  <si>
    <t>Februari 2025</t>
  </si>
  <si>
    <t>5 Juni 2025</t>
  </si>
  <si>
    <t>Surat Pernyataan Beda Tanda Tangan</t>
  </si>
  <si>
    <t>Sampel 1</t>
  </si>
  <si>
    <t>Sampel 2</t>
  </si>
  <si>
    <t>Sampel 3</t>
  </si>
  <si>
    <t>• Accept only alphabetic characters and spaces.
• Trim leading/trailing spaces automatically.
• OCR must match name exactly with form/system data.
• Reject entries containing numbers or special symbols.</t>
  </si>
  <si>
    <t>• allow strings or digits
• OCR must capture every digit accurately.
• Detect entries with spaces, dots, or non-numeric characters.</t>
  </si>
  <si>
    <t>3173022103980001</t>
  </si>
  <si>
    <t>Alamat Sesuai Identitas</t>
  </si>
  <si>
    <t>Jl. Sutra Jaya B9 No.01 RT.004/RW.006, Palmerah Utara, Jakarta Pusat</t>
  </si>
  <si>
    <t>Nomor Rekening</t>
  </si>
  <si>
    <t>0060185678</t>
  </si>
  <si>
    <t>Tanda Tangan  1</t>
  </si>
  <si>
    <r>
      <rPr>
        <u/>
        <sz val="11"/>
        <color rgb="FF000000"/>
        <rFont val="Calibri"/>
        <family val="2"/>
      </rPr>
      <t xml:space="preserve">Available
[Just for Reference] </t>
    </r>
    <r>
      <rPr>
        <u/>
        <sz val="11"/>
        <color rgb="FF0563C1"/>
        <rFont val="Calibri"/>
        <family val="2"/>
      </rPr>
      <t>Here</t>
    </r>
  </si>
  <si>
    <t>Tanda Tangan 2</t>
  </si>
  <si>
    <t>Kota / Tempat Surat Dibuat</t>
  </si>
  <si>
    <t>Tanggal Surat Dibuat</t>
  </si>
  <si>
    <t>Date (DD-Month Name - YYYY)</t>
  </si>
  <si>
    <t>Nama Pembuat Pernyataan</t>
  </si>
  <si>
    <t>Tanda Tangan Pembuat Pernyataan</t>
  </si>
  <si>
    <t>Meterai / Cap</t>
  </si>
  <si>
    <r>
      <rPr>
        <sz val="11"/>
        <rFont val="Calibri"/>
        <family val="2"/>
      </rPr>
      <t xml:space="preserve">Must meet </t>
    </r>
    <r>
      <rPr>
        <u/>
        <sz val="11"/>
        <color rgb="FF1155CC"/>
        <rFont val="Calibri"/>
        <family val="2"/>
      </rPr>
      <t>stamp requirement</t>
    </r>
    <r>
      <rPr>
        <sz val="11"/>
        <rFont val="Calibri"/>
        <family val="2"/>
      </rPr>
      <t xml:space="preserve"> on number 18</t>
    </r>
  </si>
  <si>
    <t>Surat Referensi Perusahaan</t>
  </si>
  <si>
    <t>PT. Jaya Utama, Tbk</t>
  </si>
  <si>
    <t>Tanggal Surat</t>
  </si>
  <si>
    <t>Date (DD-Month Name-YYYY</t>
  </si>
  <si>
    <t>• Accept multiple input formats (e.g. 1/6/1993, 01-06-1993, DD-MMM-YYYY, YYYY-MM-DD or other valid format of date).
• System auto-converts to DD-MM-YYYY format.
• Date must not be future dated
• OCR must correctly extract day, month, and year even with mixed language formats.
• Reject invalid or impossible dates.</t>
  </si>
  <si>
    <t>16 -08-2025</t>
  </si>
  <si>
    <t>01 - 09 - 2025</t>
  </si>
  <si>
    <t>Nomor Surat</t>
  </si>
  <si>
    <t xml:space="preserve">• Accept string,  numeric or alphanumeric characters.
• Detect strip spaces/dashes. </t>
  </si>
  <si>
    <t>484/S-KET/DJB/VIII/2025</t>
  </si>
  <si>
    <t>01</t>
  </si>
  <si>
    <t>Tujuan Surat</t>
  </si>
  <si>
    <t>• Free text for remarks.
• Allow letters, numbers, and punctuation.
• OCR must capture complete text.</t>
  </si>
  <si>
    <t>Kepala Cabang Bank Sinarmas Cabang Jakarta</t>
  </si>
  <si>
    <t>Keperluan pembukaan rekening tabungan payroll di Bank Sinarmas</t>
  </si>
  <si>
    <t>Perihal</t>
  </si>
  <si>
    <t>Surat Pengantar Buka Rekening</t>
  </si>
  <si>
    <t>Nama Nasabah (disebutkan dalam surat)</t>
  </si>
  <si>
    <t>• Accept free-text.
• Trim leading/trailing spaces.
• OCR must capture full name accurately (case-sensitive not required).</t>
  </si>
  <si>
    <t>Jabatan Nasabah</t>
  </si>
  <si>
    <t>Account Executive</t>
  </si>
  <si>
    <t>Tanggal Menjadi Partner</t>
  </si>
  <si>
    <t>Date (YYYY-MM-DD)</t>
  </si>
  <si>
    <t>31 - 12- 2024</t>
  </si>
  <si>
    <t>Nama Penandatangan Surat</t>
  </si>
  <si>
    <t>Max Willi</t>
  </si>
  <si>
    <t>Amanda</t>
  </si>
  <si>
    <t>Jabatan Penandatangan Surat</t>
  </si>
  <si>
    <t>Human Capital Dept</t>
  </si>
  <si>
    <t>Area Sales Manager</t>
  </si>
  <si>
    <t>Nomor Telepon Penandatangan Surat</t>
  </si>
  <si>
    <t>• Accept text with punctuation, numbers, and phone symbols (+, (, ), -).
• OCR must capture complete line of text.</t>
  </si>
  <si>
    <t>0811-3259-03985</t>
  </si>
  <si>
    <t>Tanda Tangan Penandatangan Surat</t>
  </si>
  <si>
    <r>
      <rPr>
        <u/>
        <sz val="11"/>
        <color rgb="FF000000"/>
        <rFont val="Calibri"/>
        <family val="2"/>
      </rPr>
      <t xml:space="preserve"> Available
[Just for Reference] </t>
    </r>
    <r>
      <rPr>
        <u/>
        <sz val="11"/>
        <color rgb="FF0563C1"/>
        <rFont val="Calibri"/>
        <family val="2"/>
      </rPr>
      <t>here</t>
    </r>
  </si>
  <si>
    <t>Alamat Kantor Cabang / Branch Office</t>
  </si>
  <si>
    <t>Jl. Ahmad Sudarso Jakarta Utara, DKI Jakarta, 10630. 021-7654321</t>
  </si>
  <si>
    <t>Nama Nasabah (Konfirmasi Transaksi)</t>
  </si>
  <si>
    <t>Sri Pujianty / Max Willi</t>
  </si>
  <si>
    <t>Stuart starshine</t>
  </si>
  <si>
    <t>Nomor Telepon (Konfirmasi Transaksi)</t>
  </si>
  <si>
    <t>Hasil Konfirmasi</t>
  </si>
  <si>
    <t>Sesuai, ybs merupakan partner</t>
  </si>
  <si>
    <t>Sesuai</t>
  </si>
  <si>
    <t>Tanggal Konfirmasi Transaksi</t>
  </si>
  <si>
    <t>Date (YY-MM-DD)</t>
  </si>
  <si>
    <t>16-08-2025</t>
  </si>
  <si>
    <t>Jam Konfirmasi Transaksi</t>
  </si>
  <si>
    <t>Time (HH:MM)</t>
  </si>
  <si>
    <t xml:space="preserve">• System must accept time format HH:MM. 
• Must validate correct 24-hour time. </t>
  </si>
  <si>
    <t>Nama Petugas Konfirmasi</t>
  </si>
  <si>
    <t>Anton</t>
  </si>
  <si>
    <t>Stamp comfirmation from supervisor</t>
  </si>
  <si>
    <r>
      <rPr>
        <sz val="11"/>
        <rFont val="Calibri"/>
        <family val="2"/>
      </rPr>
      <t xml:space="preserve">Must meet </t>
    </r>
    <r>
      <rPr>
        <u/>
        <sz val="11"/>
        <color rgb="FF1155CC"/>
        <rFont val="Calibri"/>
        <family val="2"/>
      </rPr>
      <t>stamp requirement</t>
    </r>
    <r>
      <rPr>
        <sz val="11"/>
        <rFont val="Calibri"/>
        <family val="2"/>
      </rPr>
      <t xml:space="preserve"> on number 22</t>
    </r>
  </si>
  <si>
    <t>Nama Kanwil</t>
  </si>
  <si>
    <t>:</t>
  </si>
  <si>
    <t>Jakarta 1 -Menteng</t>
  </si>
  <si>
    <t>Nama Cabang</t>
  </si>
  <si>
    <t>ID0099928289 - KC Muggle World</t>
  </si>
  <si>
    <t>Category</t>
  </si>
  <si>
    <t>Teller</t>
  </si>
  <si>
    <t>Aktivitas</t>
  </si>
  <si>
    <t>Account Opening</t>
  </si>
  <si>
    <t>Jenis Pemeriksaan</t>
  </si>
  <si>
    <t>Documents</t>
  </si>
  <si>
    <t>Periode</t>
  </si>
  <si>
    <t>July-September  2025</t>
  </si>
  <si>
    <t>Tanggal Export</t>
  </si>
  <si>
    <t>Must match with acc opening form</t>
  </si>
  <si>
    <t>Ignore this date</t>
  </si>
  <si>
    <t>If found any m arks/violation, give score 0</t>
  </si>
  <si>
    <t>If one of he column category have score 0 then total should be 0</t>
  </si>
  <si>
    <t>If one of total A/B have 0 then total should be 0</t>
  </si>
  <si>
    <t>Finding Status</t>
  </si>
  <si>
    <t>Data Count</t>
  </si>
  <si>
    <t>Customer Name</t>
  </si>
  <si>
    <t>Account No.</t>
  </si>
  <si>
    <t>Transaction Type</t>
  </si>
  <si>
    <t>Inputter</t>
  </si>
  <si>
    <t>Approver</t>
  </si>
  <si>
    <t>Transaction Carrier</t>
  </si>
  <si>
    <t>Transaction Date</t>
  </si>
  <si>
    <t>Inspection Date</t>
  </si>
  <si>
    <t>Total A</t>
  </si>
  <si>
    <t>Total B</t>
  </si>
  <si>
    <t>Remarks (Product)</t>
  </si>
  <si>
    <t>Data Completion</t>
  </si>
  <si>
    <t>Customer Signature</t>
  </si>
  <si>
    <t>Officer Review &amp; Approva</t>
  </si>
  <si>
    <t>Document Completion</t>
  </si>
  <si>
    <t>Document Verification</t>
  </si>
  <si>
    <t>Observasions</t>
  </si>
  <si>
    <t>Yes</t>
  </si>
  <si>
    <t>Customer Themselves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</si>
  <si>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 xml:space="preserve">Data Completion </t>
    </r>
    <r>
      <rPr>
        <sz val="11"/>
        <color theme="1"/>
        <rFont val="Arial"/>
        <family val="2"/>
      </rPr>
      <t xml:space="preserve">===
Incomplete / Missing Data Fields
  a. Form pembukaan rekening: Blank on checklist saya memiliki rekening di bank sinarmas, kode pos alamat kantor, sumber penghasilan tambahan, No. kartu ATM/Debit, name of nasabah, name of customer service and name of supervisor.
  b.  Form riplay: No name on petugas bank and nasabah
'=== </t>
    </r>
    <r>
      <rPr>
        <b/>
        <sz val="11"/>
        <color theme="1"/>
        <rFont val="Arial"/>
        <family val="2"/>
      </rPr>
      <t xml:space="preserve">Verified by Officer (SPV/BM/Head of Operation) </t>
    </r>
    <r>
      <rPr>
        <sz val="11"/>
        <color theme="1"/>
        <rFont val="Arial"/>
        <family val="2"/>
      </rPr>
      <t xml:space="preserve">===
Missing Authorization
  a. Formulir pembukaan rekening: No confirmation stamp by supervisor
</t>
    </r>
  </si>
  <si>
    <t>SRI PUJIANTY</t>
  </si>
  <si>
    <t>0060189678</t>
  </si>
  <si>
    <t>Others, PT Jaya Utama</t>
  </si>
  <si>
    <t>16-Agt-25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</si>
  <si>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>Data Completion</t>
    </r>
    <r>
      <rPr>
        <sz val="11"/>
        <color theme="1"/>
        <rFont val="Arial"/>
        <family val="2"/>
      </rPr>
      <t xml:space="preserve"> ===
1. Incomplete / Missing Data Fields
  a. Form pembukaan rekening: No data on ext kantor, name of nasabah, kategori risiko
Unclear data
2. Unclear data
  a. Form riplay: On nasabah signer section have incorrect signature placement on name section
'=== </t>
    </r>
    <r>
      <rPr>
        <b/>
        <sz val="11"/>
        <color theme="1"/>
        <rFont val="Arial"/>
        <family val="2"/>
      </rPr>
      <t>Customer Signature</t>
    </r>
    <r>
      <rPr>
        <sz val="11"/>
        <color theme="1"/>
        <rFont val="Arial"/>
        <family val="2"/>
      </rPr>
      <t xml:space="preserve"> ===
Incomplete Verification
  a. Form riplay: No sign/paraf on every page from nasabah, no nasabah sign
'=== </t>
    </r>
    <r>
      <rPr>
        <b/>
        <sz val="11"/>
        <color theme="1"/>
        <rFont val="Arial"/>
        <family val="2"/>
      </rPr>
      <t xml:space="preserve">Officer Review &amp; Approval </t>
    </r>
    <r>
      <rPr>
        <sz val="11"/>
        <color theme="1"/>
        <rFont val="Arial"/>
        <family val="2"/>
      </rPr>
      <t xml:space="preserve">===
Incomplete Verification
  a. Formulir pembukaan rekening: No CS stamp verification
  b. Form riplay: No stamp CS on petugas bank signer section.
'=== </t>
    </r>
    <r>
      <rPr>
        <b/>
        <sz val="11"/>
        <color theme="1"/>
        <rFont val="Arial"/>
        <family val="2"/>
      </rPr>
      <t>Verified by Officer (SPV/BM/Head of Operation)</t>
    </r>
    <r>
      <rPr>
        <sz val="11"/>
        <color theme="1"/>
        <rFont val="Arial"/>
        <family val="2"/>
      </rPr>
      <t xml:space="preserve"> ===
Missing Authorization
  a.Formulir pembukaan rekening: No confirmation stamp by supervisor</t>
    </r>
  </si>
  <si>
    <t>09976333</t>
  </si>
  <si>
    <t>20-Agt-25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</si>
  <si>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 xml:space="preserve">Data Completion </t>
    </r>
    <r>
      <rPr>
        <sz val="11"/>
        <color theme="1"/>
        <rFont val="Arial"/>
        <family val="2"/>
      </rPr>
      <t xml:space="preserve">===
Incomplete / Missing Data Fields
  a. Formulir pembukaan rekeking diamond: Some data might not visible to read on 2nd page, document is not completed
  b. Form riplay: No data on nama petugas bank and nama nasabah signer section, 
  c. Form EDD: No data on hasil EDD
  d. Form join visit: No visitor name and role and no supervisor name
'=== </t>
    </r>
    <r>
      <rPr>
        <b/>
        <sz val="11"/>
        <color theme="1"/>
        <rFont val="Arial"/>
        <family val="2"/>
      </rPr>
      <t>Customer Signature</t>
    </r>
    <r>
      <rPr>
        <sz val="11"/>
        <color theme="1"/>
        <rFont val="Arial"/>
        <family val="2"/>
      </rPr>
      <t xml:space="preserve"> ===
Stamp or Validation Errors
  a. Form EDD: No stamp on nasabah signer.
'=== </t>
    </r>
    <r>
      <rPr>
        <b/>
        <sz val="11"/>
        <color theme="1"/>
        <rFont val="Arial"/>
        <family val="2"/>
      </rPr>
      <t>Officer Review &amp; Approval</t>
    </r>
    <r>
      <rPr>
        <sz val="11"/>
        <color theme="1"/>
        <rFont val="Arial"/>
        <family val="2"/>
      </rPr>
      <t xml:space="preserve"> ===
Stamp or validation errors
  a. eKTP: No stamp verification (copy as original)
  b. Form riplay: Stamp CS and stamp tanda tangan is cropped.
'=== </t>
    </r>
    <r>
      <rPr>
        <b/>
        <sz val="11"/>
        <color theme="1"/>
        <rFont val="Arial"/>
        <family val="2"/>
      </rPr>
      <t>Document completion</t>
    </r>
    <r>
      <rPr>
        <sz val="11"/>
        <color theme="1"/>
        <rFont val="Arial"/>
        <family val="2"/>
      </rPr>
      <t xml:space="preserve"> ===
Outdated/Wrong/ Incomplete Form
  a. Formulir Pembukaan Rekenig: Have damage on 2nd page. Some image are cropped
'=== </t>
    </r>
    <r>
      <rPr>
        <b/>
        <sz val="11"/>
        <color theme="1"/>
        <rFont val="Arial"/>
        <family val="2"/>
      </rPr>
      <t xml:space="preserve">Verified by Officer (SPV/BM/Head of Operation) </t>
    </r>
    <r>
      <rPr>
        <sz val="11"/>
        <color theme="1"/>
        <rFont val="Arial"/>
        <family val="2"/>
      </rPr>
      <t xml:space="preserve">===
Missing Authorization
  a. Form EDD: No supervisor stamp on supervisor signer.
  b. Form join visit: No supervisor signing and no stamp verification from superviosr
</t>
    </r>
  </si>
  <si>
    <t>06-Agt-25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</si>
  <si>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>Data Completion</t>
    </r>
    <r>
      <rPr>
        <sz val="11"/>
        <color theme="1"/>
        <rFont val="Arial"/>
        <family val="2"/>
      </rPr>
      <t xml:space="preserve"> ===
1. Incomplete / Missing Data Fields
  a. Form pembukaan rekening: No data on field jabatan, kode pos kantor, and no telp kantor. sumber penghasilan tambahan, checklist fasilitas tambahan, no. kartu ATM/debit, pin aker ID, token ID, sms notifikasi, nama nasabah and kategori risiko
  b. Form join visit: No visitor name and role and no supervisor name
2. Unclear data
  a. Form riplay: On nasabah signer section have incorrect signature placement on name section
'=== </t>
    </r>
    <r>
      <rPr>
        <b/>
        <sz val="11"/>
        <color theme="1"/>
        <rFont val="Arial"/>
        <family val="2"/>
      </rPr>
      <t>Customer Signature</t>
    </r>
    <r>
      <rPr>
        <sz val="11"/>
        <color theme="1"/>
        <rFont val="Arial"/>
        <family val="2"/>
      </rPr>
      <t xml:space="preserve"> ===
Incomplete Verification
  a. Form riplay: No sign on customer section
'=== </t>
    </r>
    <r>
      <rPr>
        <b/>
        <sz val="11"/>
        <color theme="1"/>
        <rFont val="Arial"/>
        <family val="2"/>
      </rPr>
      <t>Officer Review &amp; Approval</t>
    </r>
    <r>
      <rPr>
        <sz val="11"/>
        <color theme="1"/>
        <rFont val="Arial"/>
        <family val="2"/>
      </rPr>
      <t xml:space="preserve"> ===
Incomplete Verification
  a. eKTP: No stamp verification (copy as original)
'=== </t>
    </r>
    <r>
      <rPr>
        <b/>
        <sz val="11"/>
        <color theme="1"/>
        <rFont val="Arial"/>
        <family val="2"/>
      </rPr>
      <t xml:space="preserve">Verified by Officer (SPV/BM/Head of Operation) </t>
    </r>
    <r>
      <rPr>
        <sz val="11"/>
        <color theme="1"/>
        <rFont val="Arial"/>
        <family val="2"/>
      </rPr>
      <t>===
Missing Authorization
  a. Form join visit: No stamp verification from superviosr</t>
    </r>
  </si>
  <si>
    <t>8324567894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</si>
  <si>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>Data Completion</t>
    </r>
    <r>
      <rPr>
        <sz val="11"/>
        <color theme="1"/>
        <rFont val="Arial"/>
        <family val="2"/>
      </rPr>
      <t xml:space="preserve"> ===
Incomplete / Missing Data Fields
  a. Form pembukaan rekening: No data on nomor telp rumah, nomor telp kantor, ext kantor, nama nasabah, 
  b. Form riplay: No sign/paraf on every page.
Unclear data
  a. The biological mother's name field contains a scribble that is not signed by the customer
'=== </t>
    </r>
    <r>
      <rPr>
        <b/>
        <sz val="11"/>
        <color theme="1"/>
        <rFont val="Arial"/>
        <family val="2"/>
      </rPr>
      <t>Officer Review &amp; Approval</t>
    </r>
    <r>
      <rPr>
        <sz val="11"/>
        <color theme="1"/>
        <rFont val="Arial"/>
        <family val="2"/>
      </rPr>
      <t xml:space="preserve"> ===
Incomplete Verification
  a. Form pembukaan rekening: No stamp from CS
  b. Form riplay: No stamp from CS
'=== </t>
    </r>
    <r>
      <rPr>
        <b/>
        <sz val="11"/>
        <color theme="1"/>
        <rFont val="Arial"/>
        <family val="2"/>
      </rPr>
      <t xml:space="preserve">Document completion </t>
    </r>
    <r>
      <rPr>
        <sz val="11"/>
        <color theme="1"/>
        <rFont val="Arial"/>
        <family val="2"/>
      </rPr>
      <t xml:space="preserve">===
Missing Supporting Documents
  a. No form join visit
Outdated/Wrong/ Incomplete Form
  a. The RIPLAY form attached is RIPLAY Simas Diamond, the correct one should be for Simas Gold
</t>
    </r>
  </si>
  <si>
    <t>Darman Siswato</t>
  </si>
  <si>
    <t>25 Juli 22025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</si>
  <si>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>Data Completion</t>
    </r>
    <r>
      <rPr>
        <sz val="11"/>
        <color theme="1"/>
        <rFont val="Arial"/>
        <family val="2"/>
      </rPr>
      <t xml:space="preserve"> ===
1. Incomplete / Missing Data Fields
  a. Form join visit: No visitor name and role and no supervisor name
  b. Form pembukaan rekening: No data on: jenis identitas, no telp kantor, et kantor, sumber penghasilan tambahan, fasilitas layanan, no kartu ATM/debit, pin maker id, token id, sms notifikasi, nama nasabah on section signing, kategroi risiko, klasifikasi, industri,  nama customer service, and nama supervisor
2. Unclear data
  a Form riplay: On nasabah signer section have incorrect signature placement on name section
3. Inconsistent/Contradictory Information
  a. Form pembukaan rekening: There is thickening/scratching on no. handphone data
'=== </t>
    </r>
    <r>
      <rPr>
        <b/>
        <sz val="11"/>
        <color theme="1"/>
        <rFont val="Arial"/>
        <family val="2"/>
      </rPr>
      <t xml:space="preserve">Verified by Officer (SPV/BM/Head of Operation) </t>
    </r>
    <r>
      <rPr>
        <sz val="11"/>
        <color theme="1"/>
        <rFont val="Arial"/>
        <family val="2"/>
      </rPr>
      <t xml:space="preserve">===
Missing Authorization
  a. Form join visit: No stamp verification from supervisor
</t>
    </r>
  </si>
  <si>
    <t>8234567899</t>
  </si>
  <si>
    <r>
      <rPr>
        <sz val="11"/>
        <color theme="1"/>
        <rFont val="Arial"/>
        <family val="2"/>
      </rPr>
      <t xml:space="preserve">"=== </t>
    </r>
    <r>
      <rPr>
        <b/>
        <sz val="11"/>
        <color theme="1"/>
        <rFont val="Arial"/>
        <family val="2"/>
      </rPr>
      <t>Data Completion</t>
    </r>
    <r>
      <rPr>
        <sz val="11"/>
        <color theme="1"/>
        <rFont val="Arial"/>
        <family val="2"/>
      </rPr>
      <t xml:space="preserve"> ===
1. Incomplete / Missing Data Fields
  a. Form pembukaan rekening: No data on pendidikan, kode pos kantor, no telp kantor, ext kantor,  nama nasabah below field tanda tangan, and supervisor checklist (aprove/not approve)
  b. Form riplay: No paraf/sign on every page
 2. Unclear Data
  a. Form riplay: Sign and nasabah name in an overlap position,
'=== </t>
    </r>
    <r>
      <rPr>
        <b/>
        <sz val="11"/>
        <color theme="1"/>
        <rFont val="Arial"/>
        <family val="2"/>
      </rPr>
      <t>Officer Review &amp; Approval</t>
    </r>
    <r>
      <rPr>
        <sz val="11"/>
        <color theme="1"/>
        <rFont val="Arial"/>
        <family val="2"/>
      </rPr>
      <t xml:space="preserve"> ===
Incomplete Verification
  a. Form pembukaan rekening: No CS stamp
'=== </t>
    </r>
    <r>
      <rPr>
        <b/>
        <sz val="11"/>
        <color theme="1"/>
        <rFont val="Arial"/>
        <family val="2"/>
      </rPr>
      <t xml:space="preserve">Verified by Officer (SPV/BM/Head of Operation) </t>
    </r>
    <r>
      <rPr>
        <sz val="11"/>
        <color theme="1"/>
        <rFont val="Arial"/>
        <family val="2"/>
      </rPr>
      <t>===
Missing Authorization
  a. Form join visit: No stamp verification from supervisor</t>
    </r>
  </si>
  <si>
    <t xml:space="preserve">=== Data Completion ===
1. Incomplete / Missing Data Fields
  a. Form pembukaan rekening: No data on no. telp rumah, kode pos kantor, no. telp kantor, ext. kantor, and nama nasabah in signing section
2. Inconsistent/Contradictory Information
  a. Data signing on eKTP and the other form (pembukaan rekening and riplay) is not match
'=== Customer Signature ===
Incomplete Verification
  a. Form riplay: No paraf/sign on every page
'=== Officer Review &amp; Approval ===
Incomplete Verification
  a. Form pembukaan rekening: No stamp from CS
  b. Form riplay: No stamp from CS
'=== Document completion ===
Missing Supporting Documents
  a. No surat referensi perusahan
</t>
  </si>
  <si>
    <t xml:space="preserve">=== Data Completion ===
Incomplete / Missing Data Fields
  a. Form pembukaan rekening: Np data on pendidikan, no. telp rumah, kode pos kantor, no. telp kantor, ext kantor, and nama nasabah on signing section
'=== Customer Signature ===
Incomplete Verification
  a. Form riplay: No paraf/sign on every page
'=== Officer Review &amp; Approval ===
Incomplete Verification
  a. Form pembukaan rekening: No CS stamp
  b. Form riplay: No stamp from CS
'=== Verified by Officer (SPV/BM/Head of Operation) ===
Missing Authorization
  a. Form pembukaan rekening: no stamp verification from supervisor
</t>
  </si>
  <si>
    <t>=== Data Completion ===
Incomplete / Missing Data Fields
  a. Form pembukaan rekening: No data on no. telp rumah, kode pos kantor, no. telp kantor, ext kantor, nama nasabah on signing section
  b. Surat Referensi Perusahaan: No data on no. telp kantor, alamat kantor/cabang
'=== Customer Signature ===
Incomplete Verification
  a. Form riplay: No paraf/sign on every page
'=== Officer Review &amp; Approval ===
Incomplete Verification
  a. Form pembukaan rekening: No CS stamp
  b. Form riplay: No stamp from CS
'=== Verified by Officer (SPV/BM/Head of Operation) ===
Missing Authorization
  a. Form pembukaan rekening: No supervisor stamp validation</t>
  </si>
  <si>
    <t>Jumlah Data</t>
  </si>
  <si>
    <t>Percentage Total</t>
  </si>
  <si>
    <t>No.</t>
  </si>
  <si>
    <t>Instruction</t>
  </si>
  <si>
    <t>To Be Verified</t>
  </si>
  <si>
    <t>Melakukan Penarikan data List Of Accounts Opened &amp; meminta logbook pembukaan rekening ke petugas cabang</t>
  </si>
  <si>
    <t>Sampling pemeriksaan berdasarkan resiko (misal utamakan pembukaan yang Form dibawa marketing)</t>
  </si>
  <si>
    <t>Periksa data dengan penelusuran ke sistem terhadap Sumber Dana setoran awal (Tunai/PB/Transfer) sesuai ketentuan</t>
  </si>
  <si>
    <t>Periksa Form Checklist Visiting dan Konfirmasi SPV kepada nasabah atas Pembukaan Rekening tersebut</t>
  </si>
  <si>
    <t>Pastikan Pencatatan pada Logbook Pembukaan Rekening telah dilengkapi oleh SPV/HO</t>
  </si>
  <si>
    <t>Periksa Tanda Terima Kartu ATM pada Logbook Kartu ATM</t>
  </si>
  <si>
    <t>Memastikan proses pembukaan rekening sampai dengan pengambilan/aktivasi kartu ATM melalui rekaman CCTV</t>
  </si>
  <si>
    <t>Periksa Upload Identitas pada Pega CS telah dilakukan</t>
  </si>
  <si>
    <t>Form Survey untuk nasabah WIC (Untuk nasabah dengan kriteria tertentu). Misalnya: – Alamat tempat tinggal nasabah cukup jauh ke lokasi cabang pembuka rekening – Tujuan pembukaan rekening tidak jelas, dll.</t>
  </si>
  <si>
    <t>Untuk nasabah Beneficial Owner wajib melampirkan Form Beneficial Owner</t>
  </si>
  <si>
    <t>Form EDD untuk nasabah yang masuk kategori High Risk</t>
  </si>
  <si>
    <t>Untuk Special Rate Tabungan wajib dilakukan pengecekan memo persetujuan, masa berlaku, dan setting pada sistem</t>
  </si>
  <si>
    <t>Source Document A → Compared With Document B</t>
  </si>
  <si>
    <t>Field(s) to Verify / Match</t>
  </si>
  <si>
    <t>Verification Rule / Audit Checkpoint</t>
  </si>
  <si>
    <t>eKTP → Form Pembukaan Rekening</t>
  </si>
  <si>
    <t>NIK ↔ Nomor Identitas</t>
  </si>
  <si>
    <t>Must match exactly (16 digits).</t>
  </si>
  <si>
    <t>Nama ↔ Nama Lengkap</t>
  </si>
  <si>
    <t>Must be same spelling; minor abbreviation allowed if supported by signature match.</t>
  </si>
  <si>
    <t>Tempat Lahir &amp; Tanggal Lahir ↔ Tempat/Tanggal Lahir</t>
  </si>
  <si>
    <t>Must match.</t>
  </si>
  <si>
    <t>eKTP → Form Join Visit</t>
  </si>
  <si>
    <t>Nama ↔ Nama Nasabah</t>
  </si>
  <si>
    <t>Must match exactly.</t>
  </si>
  <si>
    <t>Jenis Kelamin ↔ Jenis Kelamin</t>
  </si>
  <si>
    <t>Must match laki-laki -&gt; pria and perempuan -&gt; wanita</t>
  </si>
  <si>
    <t>Kewarganegaraan ↔ Kewarganegaraan</t>
  </si>
  <si>
    <t>Must match (“WNI” / “WNA”).</t>
  </si>
  <si>
    <t>Pekerjaan ↔ Pekerjaan Utama</t>
  </si>
  <si>
    <t>Cross-check occupation category.</t>
  </si>
  <si>
    <t>Form Join Visit → Form Pembukaan Rekening</t>
  </si>
  <si>
    <t>CIF ↔ Nomor CIF</t>
  </si>
  <si>
    <t>Must be identical and traceable in CBS.</t>
  </si>
  <si>
    <t>Form EED → Form Pembukaan Rekening</t>
  </si>
  <si>
    <t>Nomor CIF ↔ Nomor CIF (Form Pembukaan Rekening No. 68)</t>
  </si>
  <si>
    <t>Form EED → Surat Referensi Perusahaan</t>
  </si>
  <si>
    <t>Nama Nasabah / Jabatan ↔ Nama &amp; Jabatan Nasabah (disebut dalam Surat Referensi)</t>
  </si>
  <si>
    <t>Must match verbatim.</t>
  </si>
  <si>
    <t>Surat Pernyataan Beda Tanda Tangan → Form Pembukaan Rekening</t>
  </si>
  <si>
    <t>Surat Pernyataan Beda Tanda Tangan → Specimen Signature on System</t>
  </si>
  <si>
    <t>Tanda Tangan 1 vs 2 ↔ Specimen di System</t>
  </si>
  <si>
    <t>Should resemble form variation.</t>
  </si>
  <si>
    <t>Form RIPLAY → Form Pembukaan Rekening</t>
  </si>
  <si>
    <t>Nama Nasabah ↔ Nama Lengkap</t>
  </si>
  <si>
    <t>Surat Referensi Perusahaan → Form Join Visit</t>
  </si>
  <si>
    <t>Nama Nasabah ↔ Nama Nasabah (Form Join Visit No. 1)</t>
  </si>
  <si>
    <t>Must be same.</t>
  </si>
  <si>
    <t>eKTP → Surat Referensi Perusahaan</t>
  </si>
  <si>
    <t>Nama ↔ Nama Nasabah (Disebut dalam Surat)</t>
  </si>
  <si>
    <t>Must match identity.</t>
  </si>
  <si>
    <t>Instruction (What to Check)</t>
  </si>
  <si>
    <t>Detail / Guidance for BIC (How to Verify)</t>
  </si>
  <si>
    <t>Kelengkapan pengisian Form RIPLAY</t>
  </si>
  <si>
    <t>Pastikan seluruh kolom wajib (nama nasabah, nama petugas bank, kota/tempat, tanggal dokumen, tanda tangan, paraf setiap halaman, dan cap/stempel) telah terisi lengkap dan terbaca jelas.</t>
  </si>
  <si>
    <t>Konsistensi identitas nasabah</t>
  </si>
  <si>
    <t>Bandingkan nama nasabah dan tanda tangan pada Form RIPLAY dengan eKTP; pastikan ejaan dan tanda tangan konsisten.</t>
  </si>
  <si>
    <t>Keaslian tanda tangan petugas bank</t>
  </si>
  <si>
    <t>Verifikasi tanda tangan petugas bank sesuai dengan spesimen di database cabang; pastikan bukan hasil tempelan digital atau salinan.</t>
  </si>
  <si>
    <t>Kejelasan paraf/tanda tangan di setiap halaman</t>
  </si>
  <si>
    <t>Pastikan setiap halaman Form RIPLAY memiliki paraf/tanda tangan sesuai ketentuan (biasanya di kanan bawah halaman</t>
  </si>
  <si>
    <t>Keberadaan dan keaslian cap/stempel bank</t>
  </si>
  <si>
    <t>Pastikan cap/stempel asli tercantum dan tidak berupa hasil scan atau fotokopi; bandingkan dengan ketentuan stempel sesuaikan dengan nama cabang.</t>
  </si>
  <si>
    <t>Cross-check dengan sumber sistem (CBS/Smart Teller)</t>
  </si>
  <si>
    <t>Cocokkan data utama (nama nasabah, nomor rekening, tanggal transaksi) di Form RIPLAY dengan data sistem core banking atau aplikasi pendukung lainnya.</t>
  </si>
  <si>
    <t>Bukti arsip digital dan metadata</t>
  </si>
  <si>
    <t>Pastikan setiap Form RIPLAY tersimpan dalam arsip digital lengkap dengan metadata (tanggal unggah, pengguna yang mengunggah, hash file); pastikan tidak ada manipulasi file.</t>
  </si>
  <si>
    <t>Ketersediaan dan kesesuaian jenis stempel di cabang</t>
  </si>
  <si>
    <t>Pastikan setiap cabang memiliki jenis stempel sesuai daftar pada Memo M.078/2024/ODSP (22 jenis stempel operasional: Teller, CS, Copy Sesuai Asli, Verifikasi Tandatangan, Konfirmasi, dll). Tidak boleh ada stempel tambahan di luar daftar.</t>
  </si>
  <si>
    <t>Standarisasi desain dan ukuran stempel</t>
  </si>
  <si>
    <t>Bandingkan ukuran dan bentuk fisik stempel dengan ketentuan tabel standar (mis. Teller 1.1 cm Ø, Kantor 0.5×4 cm, Verifikasi Tandatangan 1.8 cm Ø, dll). Bila berbeda atau buram, tandai sebagai non-compliant.</t>
  </si>
  <si>
    <t>Keaslian dan kondisi fisik stempel</t>
  </si>
  <si>
    <t>Periksa keaslian cetakan (tidak duplikat, tidak buatan lokal tanpa izin). Pastikan tulisan terbaca jelas dan bersih sesuai ketentuan “clean desk policy”.</t>
  </si>
  <si>
    <t>Penggunaan stempel sesuai fungsi dan jabatan</t>
  </si>
  <si>
    <t>Pastikan penggunaan stempel sesuai penanggung jawab yang ditetapkan (mis. Teller → Transaksi Tunai; CS → Form Pembukaan Rekening; Supervisor → Verifikasi).</t>
  </si>
  <si>
    <t>Penempatan stempel pada dokumen</t>
  </si>
  <si>
    <t xml:space="preserve">Pastikan posisi stempel sesuai fungsi dokumen: informasi penting. </t>
  </si>
  <si>
    <t>Prosedur penyimpanan stempel</t>
  </si>
  <si>
    <t>Pastikan seluruh stempel disimpan di laci terkunci dan hanya diakses oleh PIC resmi (Teller/CS/Supervisor/HO). Lakukan pemeriksaan fisik dan konfirmasi dengan daftar kepemilikan.</t>
  </si>
  <si>
    <t>Prosedur peminjaman dan penggunaan di luar kantor</t>
  </si>
  <si>
    <t>Bila digunakan di luar kantor (event atau kegiatan eksternal), pastikan ada berita acara penggunaan dan persetujuan dari Head of Operation dan Branch Manager sesuai Memo 078 poin 2.f.</t>
  </si>
  <si>
    <t>Ketentuan pengadaan dan penggantian stempel</t>
  </si>
  <si>
    <t>Verifikasi bahwa pengadaan stempel dilakukan sesuai prosedur (via GA Pusat/Wilayah atau Cabang Induk) dan disetujui oleh Head of Operation &amp; Branch Manager.</t>
  </si>
  <si>
    <t>Pemusnahan stempel tidak standar</t>
  </si>
  <si>
    <t>Pastikan cabang melakukan pemusnahan terhadap stempel lama atau non-standar dengan berita acara pemusnahan ditandatangani atasan langsung dan tidak langsung.</t>
  </si>
  <si>
    <t>Pengawasan dan surprise check BIC</t>
  </si>
  <si>
    <t>Lakukan pemeriksaan mendadak untuk memastikan penerapan standar stempel, penyimpanan, dan penggunaannya berjalan sesuai ketentuan M.078/2024/ODSP; dokumentasikan hasilnya.</t>
  </si>
  <si>
    <t>Pemeriksaan identitas nasabah</t>
  </si>
  <si>
    <t>Pastikan eKTP atau Identitas Digital terbaca jelas (NIK, Nama, TTL, Alamat) dan sesuai dengan data pada formulir pembukaan rekening.</t>
  </si>
  <si>
    <t>Validasi keaslian identitas nasabah</t>
  </si>
  <si>
    <t>Lakukan verifikasi ke Web Service Dukcapil dan sistem CIF; pastikan data cocok dan belum pernah terdaftar ganda.</t>
  </si>
  <si>
    <t>Kelengkapan pengisian formulir</t>
  </si>
  <si>
    <t>Periksa semua kolom wajib terisi (nama, alamat, identitas, tanda tangan, tujuan pembukaan, sumber dana, pekerjaan, dll).</t>
  </si>
  <si>
    <t>Kesesuaian tanda tangan nasabah</t>
  </si>
  <si>
    <t>Cocokkan tanda tangan nasabah di formulir dengan spesimen tanda tangan pada eKTP; jika berbeda, nasabah wajib mengisi Surat Pernyataan Beda Tanda Tangan.</t>
  </si>
  <si>
    <t>Pembubuhan stempel verifikasi</t>
  </si>
  <si>
    <t>Pastikan stempel Verifikasi Tanda Tangan dibubuhkan oleh petugas CS/Teller dan paraf tersedia di dekat area tanda tangan.</t>
  </si>
  <si>
    <t>Pemeriksaan kelengkapan lampiran dokumen</t>
  </si>
  <si>
    <t>Verifikasi keberadaan fotokopi eKTP, NPWP, dan dokumen pendukung lainnya (surat domisili, surat kuasa, surat referensi perusahaan jika relevan).</t>
  </si>
  <si>
    <t>Verifikasi hasil kunjungan (Join Visit)</t>
  </si>
  <si>
    <t>Pastikan formulir Join Visit diisi lengkap (foto KTP, alamat tinggal aktual, tanda tangan visitor dan supervisor).</t>
  </si>
  <si>
    <t>Screening Watchlist &amp; EDD</t>
  </si>
  <si>
    <t>Periksa hasil screening DTTOT, DPPSPM, dan Watchlist pada form EDD; bila ada hasil match, pastikan catatan tindak lanjut tersimpan.</t>
  </si>
  <si>
    <t>Kesesuaian hasil EDD dan profil risiko</t>
  </si>
  <si>
    <t>Pastikan hasil EDD dan kategori risiko tercantum di form pembukaan rekening sesuai dengan hasil di sistem AML-CTF.</t>
  </si>
  <si>
    <t>Otorisasi Supervisor / Head of Operation</t>
  </si>
  <si>
    <t>Pastikan tanda tangan dan nama pejabat otorisasi tercantum lengkap; tanggal pemeriksaan harus sama dengan tanggal input CS.</t>
  </si>
  <si>
    <t>Pembubuhan stempel otorisasi dan konfirmasi</t>
  </si>
  <si>
    <t>Pastikan stempel Customer Service, Konfirmasi, dan Verifikasi Tandatangan muncul di halaman terakhir formulir.</t>
  </si>
  <si>
    <t>Pencetakan &amp; aktivasi rekening</t>
  </si>
  <si>
    <t>Pastikan buku tabungan dan kartu ATM dicetak sesuai nama nasabah dan diserahkan langsung di cabang. Validasi core system bahwa rekening aktif.</t>
  </si>
  <si>
    <t>Penyimpanan dokumen dan arsip</t>
  </si>
  <si>
    <t>Pastikan seluruh dokumen (fisik/digital) tersimpan lengkap, diberi cap BIC bila telah diperiksa. Arsip disimpan ≥5 tahun.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</si>
</sst>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&quot;-&quot;mm&quot;-&quot;yyyy"/>
    <numFmt numFmtId="165" formatCode="mm\-dd\-yyyy"/>
    <numFmt numFmtId="166" formatCode="mm/dd/yyyy"/>
    <numFmt numFmtId="167" formatCode="mmmm\ yyyy"/>
    <numFmt numFmtId="168" formatCode="mm/dd/yy"/>
    <numFmt numFmtId="169" formatCode="d\ mmmm\ yyyy\ h:mm:ss"/>
    <numFmt numFmtId="170" formatCode="d\-mmm\-yy"/>
    <numFmt numFmtId="171" formatCode="dd\ mmm\ yyyy"/>
    <numFmt numFmtId="172" formatCode="d\ mmmm\ yyyy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rgb="FF0000FF"/>
      <name val="Calibri"/>
      <family val="2"/>
    </font>
    <font>
      <b/>
      <u/>
      <sz val="11"/>
      <color rgb="FF0000FF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u/>
      <sz val="11"/>
      <color rgb="FF000000"/>
      <name val="Calibri"/>
      <family val="2"/>
    </font>
    <font>
      <u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rgb="FFF3F3F3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 wrapText="1"/>
    </xf>
    <xf numFmtId="0" fontId="1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4" fontId="1" fillId="7" borderId="0" xfId="0" applyNumberFormat="1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164" fontId="1" fillId="5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5" borderId="0" xfId="0" quotePrefix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2" fillId="5" borderId="0" xfId="0" applyFont="1" applyFill="1" applyAlignment="1">
      <alignment vertical="center"/>
    </xf>
    <xf numFmtId="0" fontId="10" fillId="0" borderId="0" xfId="0" applyFont="1" applyAlignment="1">
      <alignment vertical="top" wrapText="1"/>
    </xf>
    <xf numFmtId="0" fontId="2" fillId="5" borderId="0" xfId="0" quotePrefix="1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15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5" borderId="0" xfId="0" applyNumberFormat="1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1" fillId="5" borderId="0" xfId="0" applyNumberFormat="1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 wrapText="1"/>
    </xf>
    <xf numFmtId="0" fontId="1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167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 wrapText="1"/>
    </xf>
    <xf numFmtId="167" fontId="1" fillId="5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11" fillId="5" borderId="0" xfId="0" applyFont="1" applyFill="1" applyAlignment="1">
      <alignment vertical="center" wrapText="1"/>
    </xf>
    <xf numFmtId="164" fontId="7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168" fontId="1" fillId="5" borderId="0" xfId="0" applyNumberFormat="1" applyFont="1" applyFill="1" applyAlignment="1">
      <alignment vertical="center" wrapText="1"/>
    </xf>
    <xf numFmtId="20" fontId="7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4" fontId="19" fillId="0" borderId="0" xfId="0" applyNumberFormat="1" applyFont="1" applyAlignment="1">
      <alignment vertical="center" wrapText="1"/>
    </xf>
    <xf numFmtId="169" fontId="18" fillId="0" borderId="0" xfId="0" applyNumberFormat="1" applyFont="1" applyAlignment="1">
      <alignment horizontal="left" vertical="center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/>
    </xf>
    <xf numFmtId="0" fontId="20" fillId="11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vertical="center"/>
    </xf>
    <xf numFmtId="0" fontId="19" fillId="0" borderId="3" xfId="0" quotePrefix="1" applyFont="1" applyBorder="1" applyAlignment="1">
      <alignment vertical="center"/>
    </xf>
    <xf numFmtId="0" fontId="19" fillId="6" borderId="3" xfId="0" applyFont="1" applyFill="1" applyBorder="1" applyAlignment="1">
      <alignment vertical="center"/>
    </xf>
    <xf numFmtId="0" fontId="19" fillId="0" borderId="3" xfId="0" applyFont="1" applyBorder="1" applyAlignment="1">
      <alignment vertical="center" wrapText="1"/>
    </xf>
    <xf numFmtId="170" fontId="19" fillId="0" borderId="3" xfId="0" applyNumberFormat="1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19" fillId="3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vertical="center"/>
    </xf>
    <xf numFmtId="0" fontId="19" fillId="3" borderId="3" xfId="0" quotePrefix="1" applyFont="1" applyFill="1" applyBorder="1" applyAlignment="1">
      <alignment vertical="center"/>
    </xf>
    <xf numFmtId="0" fontId="19" fillId="12" borderId="3" xfId="0" applyFont="1" applyFill="1" applyBorder="1" applyAlignment="1">
      <alignment vertical="center"/>
    </xf>
    <xf numFmtId="0" fontId="19" fillId="3" borderId="3" xfId="0" applyFont="1" applyFill="1" applyBorder="1" applyAlignment="1">
      <alignment vertical="center" wrapText="1"/>
    </xf>
    <xf numFmtId="170" fontId="19" fillId="3" borderId="3" xfId="0" applyNumberFormat="1" applyFont="1" applyFill="1" applyBorder="1" applyAlignment="1">
      <alignment vertical="center" wrapText="1"/>
    </xf>
    <xf numFmtId="171" fontId="19" fillId="3" borderId="3" xfId="0" applyNumberFormat="1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172" fontId="1" fillId="3" borderId="3" xfId="0" applyNumberFormat="1" applyFont="1" applyFill="1" applyBorder="1" applyAlignment="1">
      <alignment vertical="center" wrapText="1"/>
    </xf>
    <xf numFmtId="171" fontId="1" fillId="3" borderId="3" xfId="0" applyNumberFormat="1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2" fontId="7" fillId="0" borderId="0" xfId="0" applyNumberFormat="1" applyFont="1" applyAlignment="1">
      <alignment horizontal="right" vertical="center"/>
    </xf>
    <xf numFmtId="0" fontId="3" fillId="13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1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14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3" fillId="14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3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D0_Xm6mysWURQUijUH_l2uS3azotpggp/view?usp=sharing" TargetMode="External"/><Relationship Id="rId21" Type="http://schemas.openxmlformats.org/officeDocument/2006/relationships/hyperlink" Target="https://drive.google.com/drive/folders/16edOhxqmoXZMtqDX0qmcfddCzEHK53mx?usp=sharing" TargetMode="External"/><Relationship Id="rId42" Type="http://schemas.openxmlformats.org/officeDocument/2006/relationships/hyperlink" Target="https://drive.google.com/file/d/1Dbc5H9fbi61VS3tqipf-eHR1ozhWPkJB/view?usp=sharing" TargetMode="External"/><Relationship Id="rId63" Type="http://schemas.openxmlformats.org/officeDocument/2006/relationships/hyperlink" Target="https://drive.google.com/file/d/1gkfc8lCkQQ5tH4P9cDUtepJknyThL6uc/view?usp=sharing" TargetMode="External"/><Relationship Id="rId84" Type="http://schemas.openxmlformats.org/officeDocument/2006/relationships/hyperlink" Target="https://drive.google.com/file/d/1q8h7Tvt_tGNYca0C7UoZdtsiNDVsME8i/view?usp=sharing" TargetMode="External"/><Relationship Id="rId138" Type="http://schemas.openxmlformats.org/officeDocument/2006/relationships/comments" Target="../comments1.xml"/><Relationship Id="rId16" Type="http://schemas.openxmlformats.org/officeDocument/2006/relationships/hyperlink" Target="https://drive.google.com/file/d/1OgYeKhw4HlVcPrAqwnith3TUmZnI_0ZU/view?usp=sharing" TargetMode="External"/><Relationship Id="rId107" Type="http://schemas.openxmlformats.org/officeDocument/2006/relationships/hyperlink" Target="https://drive.google.com/file/d/1ZHk86uI13x98eTsR1nuwtzbTHalmEy99/view?usp=sharing" TargetMode="External"/><Relationship Id="rId11" Type="http://schemas.openxmlformats.org/officeDocument/2006/relationships/hyperlink" Target="https://drive.google.com/drive/folders/1ABLfAixvi86Wm9kMSblxMtu_xPaMxh5i?usp=sharing" TargetMode="External"/><Relationship Id="rId32" Type="http://schemas.openxmlformats.org/officeDocument/2006/relationships/hyperlink" Target="https://drive.google.com/file/d/1W5qVzCAlcVOP8w-_zfssit7IkQWsvgu7/view?usp=sharing" TargetMode="External"/><Relationship Id="rId37" Type="http://schemas.openxmlformats.org/officeDocument/2006/relationships/hyperlink" Target="https://drive.google.com/file/d/13ATihfyW98JnX_G5GGSG_vVYCrstsBXI/view?usp=sharing" TargetMode="External"/><Relationship Id="rId53" Type="http://schemas.openxmlformats.org/officeDocument/2006/relationships/hyperlink" Target="https://drive.google.com/file/d/1V3JiI-imnCTSgzFyk1RMQRhJSmIBfK8V/view?usp=sharing" TargetMode="External"/><Relationship Id="rId58" Type="http://schemas.openxmlformats.org/officeDocument/2006/relationships/hyperlink" Target="https://drive.google.com/file/d/1xWNbxG2ULqpwLaLYSb4uY541w7RSL_bJ/view?usp=sharing" TargetMode="External"/><Relationship Id="rId74" Type="http://schemas.openxmlformats.org/officeDocument/2006/relationships/hyperlink" Target="https://drive.google.com/file/d/1JfEhlWM3AYReDIMSRNiHSNrm5H3MrUwE/view?usp=sharing" TargetMode="External"/><Relationship Id="rId79" Type="http://schemas.openxmlformats.org/officeDocument/2006/relationships/hyperlink" Target="https://drive.google.com/file/d/196aftCNN2Rcu7wT7qct5BfA5PAihQXcx/view?usp=sharing" TargetMode="External"/><Relationship Id="rId102" Type="http://schemas.openxmlformats.org/officeDocument/2006/relationships/hyperlink" Target="https://drive.google.com/file/d/1AT7xiY0pyf5O6JuJBkgus8b2Vyeq6GYW/view?usp=sharing" TargetMode="External"/><Relationship Id="rId123" Type="http://schemas.openxmlformats.org/officeDocument/2006/relationships/hyperlink" Target="https://drive.google.com/file/d/1Yxp0Wb4Ifg0qiyCDUtU6ZL61584IV76C/view?usp=sharing" TargetMode="External"/><Relationship Id="rId128" Type="http://schemas.openxmlformats.org/officeDocument/2006/relationships/hyperlink" Target="https://drive.google.com/file/d/1-kfVSwcFCjBRQHuQ-SobPL0ZNqa0FQWr/view?usp=sharing" TargetMode="External"/><Relationship Id="rId5" Type="http://schemas.openxmlformats.org/officeDocument/2006/relationships/hyperlink" Target="https://drive.google.com/file/d/1Zjqoummabm7HR_lQKEYsXaFKsiwZH6ix/view?usp=sharing" TargetMode="External"/><Relationship Id="rId90" Type="http://schemas.openxmlformats.org/officeDocument/2006/relationships/hyperlink" Target="https://drive.google.com/file/d/1T5CMbYZuhsrh9lBDjdGwd9i5pTr4VDZ9/view?usp=sharing" TargetMode="External"/><Relationship Id="rId95" Type="http://schemas.openxmlformats.org/officeDocument/2006/relationships/hyperlink" Target="https://drive.google.com/file/d/1CC81JYlfQu1uAJm7B9SRvsfQRMCgEZd1/view?usp=sharing" TargetMode="External"/><Relationship Id="rId22" Type="http://schemas.openxmlformats.org/officeDocument/2006/relationships/hyperlink" Target="https://drive.google.com/file/d/1nCaiQXjS1x0WRUypZIeyjFvLlMMI3-na/view?usp=sharing" TargetMode="External"/><Relationship Id="rId27" Type="http://schemas.openxmlformats.org/officeDocument/2006/relationships/hyperlink" Target="https://drive.google.com/file/d/1t1iheAkXiPf8PeaSDK49HtEb8-KleKJG/view?usp=sharing" TargetMode="External"/><Relationship Id="rId43" Type="http://schemas.openxmlformats.org/officeDocument/2006/relationships/hyperlink" Target="https://drive.google.com/file/d/1ASDZTfFn_SZJUp0DiZbs3oMpYJarAMdU/view?usp=sharing" TargetMode="External"/><Relationship Id="rId48" Type="http://schemas.openxmlformats.org/officeDocument/2006/relationships/hyperlink" Target="https://drive.google.com/file/d/1YR1m49ttpkCbK2Vm_yX8RW5N7DUCQLXv/view?usp=sharing" TargetMode="External"/><Relationship Id="rId64" Type="http://schemas.openxmlformats.org/officeDocument/2006/relationships/hyperlink" Target="https://drive.google.com/file/d/19h4CM8QalwdP3PJi2z87NU6NF6qNRNo0/view?usp=sharing" TargetMode="External"/><Relationship Id="rId69" Type="http://schemas.openxmlformats.org/officeDocument/2006/relationships/hyperlink" Target="https://drive.google.com/file/d/1Zkw499chg6cJsb8n_HswZcqD5DkbfEDi/view?usp=sharing" TargetMode="External"/><Relationship Id="rId113" Type="http://schemas.openxmlformats.org/officeDocument/2006/relationships/hyperlink" Target="https://drive.google.com/file/d/12Zk1cy--mi_FNFB_VAXwLQj0tURwJ1a5/view?usp=sharing" TargetMode="External"/><Relationship Id="rId118" Type="http://schemas.openxmlformats.org/officeDocument/2006/relationships/hyperlink" Target="https://drive.google.com/file/d/1OXy-CDOm3ecN7dOQ4hf580C4B5Fu7ac_/view?usp=sharing" TargetMode="External"/><Relationship Id="rId134" Type="http://schemas.openxmlformats.org/officeDocument/2006/relationships/hyperlink" Target="https://drive.google.com/file/d/1oM3Sj3fjDfT2edJyXO-KaLr6fzxB8Xk_/view?usp=sharing" TargetMode="External"/><Relationship Id="rId80" Type="http://schemas.openxmlformats.org/officeDocument/2006/relationships/hyperlink" Target="https://drive.google.com/file/d/1etIQGWzXmYqk4kDFVK9fTizm9wHiCKHC/view?usp=sharing" TargetMode="External"/><Relationship Id="rId85" Type="http://schemas.openxmlformats.org/officeDocument/2006/relationships/hyperlink" Target="https://drive.google.com/file/d/1COe8UZ_-8ASFFQGTIHRd-gAO3MV9tSTD/view?usp=sharing" TargetMode="External"/><Relationship Id="rId12" Type="http://schemas.openxmlformats.org/officeDocument/2006/relationships/hyperlink" Target="https://drive.google.com/drive/folders/16edOhxqmoXZMtqDX0qmcfddCzEHK53mx?usp=sharing" TargetMode="External"/><Relationship Id="rId17" Type="http://schemas.openxmlformats.org/officeDocument/2006/relationships/hyperlink" Target="https://drive.google.com/file/d/1p7YEVHWhvPfg6rFz8a6PPRhJvktbQJQV/view?usp=sharing" TargetMode="External"/><Relationship Id="rId33" Type="http://schemas.openxmlformats.org/officeDocument/2006/relationships/hyperlink" Target="https://drive.google.com/file/d/1y_DxQvj5oVkmy3TY78XuavJj5C7tyhwy/view?usp=sharing" TargetMode="External"/><Relationship Id="rId38" Type="http://schemas.openxmlformats.org/officeDocument/2006/relationships/hyperlink" Target="https://drive.google.com/file/d/16TNsF3nwO8obwzQuJX_GP6AH2aZzuShD/view?usp=sharing" TargetMode="External"/><Relationship Id="rId59" Type="http://schemas.openxmlformats.org/officeDocument/2006/relationships/hyperlink" Target="https://drive.google.com/file/d/1ZzojVT8ZnC3-mepLM-p8OGdoVmYgNFhA/view?usp=sharing" TargetMode="External"/><Relationship Id="rId103" Type="http://schemas.openxmlformats.org/officeDocument/2006/relationships/hyperlink" Target="https://drive.google.com/file/d/1NXDxqYAtKPi3FHkajaKlq67OQCubsWe2/view?usp=sharing" TargetMode="External"/><Relationship Id="rId108" Type="http://schemas.openxmlformats.org/officeDocument/2006/relationships/hyperlink" Target="https://drive.google.com/file/d/1ZDzoT6rS-hOm5O1qfe2jipLT4hA7WEMk/view?usp=sharing" TargetMode="External"/><Relationship Id="rId124" Type="http://schemas.openxmlformats.org/officeDocument/2006/relationships/hyperlink" Target="https://drive.google.com/drive/folders/1e6MMUFJF_2uY-UuMMn6GjLQjLlGJw1Sq" TargetMode="External"/><Relationship Id="rId129" Type="http://schemas.openxmlformats.org/officeDocument/2006/relationships/hyperlink" Target="https://drive.google.com/file/d/1-kfVSwcFCjBRQHuQ-SobPL0ZNqa0FQWr/view?usp=sharing" TargetMode="External"/><Relationship Id="rId54" Type="http://schemas.openxmlformats.org/officeDocument/2006/relationships/hyperlink" Target="https://drive.google.com/file/d/1MdDRFUDLdl4pcVb7VGIssAu5LHxwAm9u/view?usp=sharing" TargetMode="External"/><Relationship Id="rId70" Type="http://schemas.openxmlformats.org/officeDocument/2006/relationships/hyperlink" Target="https://drive.google.com/file/d/1B2ATDdHpdkcv-9sreGcomGv7Vv4THXVt/view?usp=sharing" TargetMode="External"/><Relationship Id="rId75" Type="http://schemas.openxmlformats.org/officeDocument/2006/relationships/hyperlink" Target="https://drive.google.com/file/d/1cnyWOxuCszcPzWzPn14FqgGQapgehQPI/view?usp=sharing" TargetMode="External"/><Relationship Id="rId91" Type="http://schemas.openxmlformats.org/officeDocument/2006/relationships/hyperlink" Target="https://drive.google.com/drive/folders/1e6MMUFJF_2uY-UuMMn6GjLQjLlGJw1Sq" TargetMode="External"/><Relationship Id="rId96" Type="http://schemas.openxmlformats.org/officeDocument/2006/relationships/hyperlink" Target="https://drive.google.com/file/d/1QUIzCfFfMeTU-LQKJwjV61OGzSa5fcy8/view?usp=sharing" TargetMode="External"/><Relationship Id="rId1" Type="http://schemas.openxmlformats.org/officeDocument/2006/relationships/hyperlink" Target="https://drive.google.com/file/d/12B5tuFr2-q3fGtmMCuryQ1g0g4dhqCEP/view?usp=sharing" TargetMode="External"/><Relationship Id="rId6" Type="http://schemas.openxmlformats.org/officeDocument/2006/relationships/hyperlink" Target="https://drive.google.com/file/d/17RxfBqBliNTUzxRsUpE86xkD6rpRPjE1/view?usp=sharing" TargetMode="External"/><Relationship Id="rId23" Type="http://schemas.openxmlformats.org/officeDocument/2006/relationships/hyperlink" Target="https://drive.google.com/file/d/1abT2uTnV-fscBHKDZseNg-KpQFha-Or4/view?usp=sharing" TargetMode="External"/><Relationship Id="rId28" Type="http://schemas.openxmlformats.org/officeDocument/2006/relationships/hyperlink" Target="https://drive.google.com/file/d/1GTWNw5JxVLMvJX4LsKZKwPO8hh53OrL9/view?usp=sharing" TargetMode="External"/><Relationship Id="rId49" Type="http://schemas.openxmlformats.org/officeDocument/2006/relationships/hyperlink" Target="https://drive.google.com/file/d/1CivwSZumR29uxvhNrTunibvzQ5-mmCWu/view?usp=sharing" TargetMode="External"/><Relationship Id="rId114" Type="http://schemas.openxmlformats.org/officeDocument/2006/relationships/hyperlink" Target="https://drive.google.com/file/d/1X3FUCSdFSbl7kIXaMOj_Rlkof2QRLiQg/view?usp=sharing" TargetMode="External"/><Relationship Id="rId119" Type="http://schemas.openxmlformats.org/officeDocument/2006/relationships/hyperlink" Target="https://drive.google.com/file/d/1FujHqUxbU_jZeRi_MNt_fz-DDe1ODWjg/view?usp=sharing" TargetMode="External"/><Relationship Id="rId44" Type="http://schemas.openxmlformats.org/officeDocument/2006/relationships/hyperlink" Target="https://drive.google.com/file/d/1ny0XUGYgySYizVALLeKA_mnSppoaixUL/view?usp=sharing" TargetMode="External"/><Relationship Id="rId60" Type="http://schemas.openxmlformats.org/officeDocument/2006/relationships/hyperlink" Target="https://drive.google.com/file/d/1a9y80IiMyi1V4Cu6x_SQLVEKuUpx5WKE/view?usp=sharing" TargetMode="External"/><Relationship Id="rId65" Type="http://schemas.openxmlformats.org/officeDocument/2006/relationships/hyperlink" Target="https://drive.google.com/file/d/1Mr2joq74b1DktiFwIF01YkM5LMCKE8t_/view?usp=sharing" TargetMode="External"/><Relationship Id="rId81" Type="http://schemas.openxmlformats.org/officeDocument/2006/relationships/hyperlink" Target="https://drive.google.com/file/d/1gJ5TW1As3AP-zsh1YCu4KelNPse_zBpK/view?usp=sharing" TargetMode="External"/><Relationship Id="rId86" Type="http://schemas.openxmlformats.org/officeDocument/2006/relationships/hyperlink" Target="https://drive.google.com/file/d/1lHxk4C8Ifg7uiRdjDhpDyQJNd-IAO8Q5/view?usp=sharing" TargetMode="External"/><Relationship Id="rId130" Type="http://schemas.openxmlformats.org/officeDocument/2006/relationships/hyperlink" Target="https://drive.google.com/file/d/1SMjvwQyS1GahrKp-fcxUGAHKtumOmMEy/view?usp=sharing" TargetMode="External"/><Relationship Id="rId135" Type="http://schemas.openxmlformats.org/officeDocument/2006/relationships/hyperlink" Target="https://drive.google.com/file/d/103X9oNxOr7GVey3mEEyxjfXHWrRDbw5b/view?usp=sharing" TargetMode="External"/><Relationship Id="rId13" Type="http://schemas.openxmlformats.org/officeDocument/2006/relationships/hyperlink" Target="https://drive.google.com/file/d/1Ka9-cLFFaW766L2botENfWxabKLCmLn-/view?usp=sharing" TargetMode="External"/><Relationship Id="rId18" Type="http://schemas.openxmlformats.org/officeDocument/2006/relationships/hyperlink" Target="https://drive.google.com/file/d/1TV1HKcK68-WK0W22JGKwUHGJItOs4W4P/view?usp=sharing" TargetMode="External"/><Relationship Id="rId39" Type="http://schemas.openxmlformats.org/officeDocument/2006/relationships/hyperlink" Target="https://drive.google.com/file/d/1EdnaeN63lIjd-aqsCPy-OqTgfzS8224x/view?usp=sharing" TargetMode="External"/><Relationship Id="rId109" Type="http://schemas.openxmlformats.org/officeDocument/2006/relationships/hyperlink" Target="https://drive.google.com/file/d/1REDB0xwHe6BzrCJM91HdqxoVLmmEZ071/view?usp=sharing" TargetMode="External"/><Relationship Id="rId34" Type="http://schemas.openxmlformats.org/officeDocument/2006/relationships/hyperlink" Target="https://drive.google.com/file/d/1esTmRxkCN9SbeD767xIR21ayp8yDWJHn/view?usp=sharing" TargetMode="External"/><Relationship Id="rId50" Type="http://schemas.openxmlformats.org/officeDocument/2006/relationships/hyperlink" Target="https://drive.google.com/file/d/1Xu_xLRiBh0DgKp5x6NSx1uxF4iSxK1Nn/view?usp=sharing" TargetMode="External"/><Relationship Id="rId55" Type="http://schemas.openxmlformats.org/officeDocument/2006/relationships/hyperlink" Target="https://drive.google.com/file/d/1AvnZbKQCT827YAVwwB5fHKNw5fbfEeV9/view?usp=sharing" TargetMode="External"/><Relationship Id="rId76" Type="http://schemas.openxmlformats.org/officeDocument/2006/relationships/hyperlink" Target="https://drive.google.com/file/d/1bp7Y3fgt6QEtnw1qSZiJ9VzIcIz354J5/view?usp=sharing" TargetMode="External"/><Relationship Id="rId97" Type="http://schemas.openxmlformats.org/officeDocument/2006/relationships/hyperlink" Target="https://drive.google.com/file/d/1zKsrH24RNd3N5IRbTfz2NfkTwLSlG1wL/view?usp=sharing" TargetMode="External"/><Relationship Id="rId104" Type="http://schemas.openxmlformats.org/officeDocument/2006/relationships/hyperlink" Target="https://drive.google.com/file/d/1pALCXn1U58EU8-a9-y_9Ugrq8F61_HSx/view?usp=sharing" TargetMode="External"/><Relationship Id="rId120" Type="http://schemas.openxmlformats.org/officeDocument/2006/relationships/hyperlink" Target="https://drive.google.com/file/d/1awxt6T-o1kEXwLVJLx0M_7LVAa7HKReU/view?usp=sharing" TargetMode="External"/><Relationship Id="rId125" Type="http://schemas.openxmlformats.org/officeDocument/2006/relationships/hyperlink" Target="https://drive.google.com/drive/folders/1e6MMUFJF_2uY-UuMMn6GjLQjLlGJw1Sq" TargetMode="External"/><Relationship Id="rId7" Type="http://schemas.openxmlformats.org/officeDocument/2006/relationships/hyperlink" Target="https://drive.google.com/file/d/17DNlUNsPhg3kYUm8yovdnrGF-Nsetp_B/view?usp=sharing" TargetMode="External"/><Relationship Id="rId71" Type="http://schemas.openxmlformats.org/officeDocument/2006/relationships/hyperlink" Target="https://drive.google.com/file/d/1nrMHxlcdBcBY3NRuH8t87QbO7V08DGCV/view?usp=sharing" TargetMode="External"/><Relationship Id="rId92" Type="http://schemas.openxmlformats.org/officeDocument/2006/relationships/hyperlink" Target="https://drive.google.com/drive/folders/1e6MMUFJF_2uY-UuMMn6GjLQjLlGJw1Sq" TargetMode="External"/><Relationship Id="rId2" Type="http://schemas.openxmlformats.org/officeDocument/2006/relationships/hyperlink" Target="https://drive.google.com/file/d/1u8ZR6CekQ2gwhaAi4rLuFD1MI3QvIK5A/view?usp=sharing" TargetMode="External"/><Relationship Id="rId29" Type="http://schemas.openxmlformats.org/officeDocument/2006/relationships/hyperlink" Target="https://drive.google.com/drive/folders/1e6MMUFJF_2uY-UuMMn6GjLQjLlGJw1Sq" TargetMode="External"/><Relationship Id="rId24" Type="http://schemas.openxmlformats.org/officeDocument/2006/relationships/hyperlink" Target="https://drive.google.com/file/d/1_8F_VH6cE3itLKFlUmbTsJFeNn4SvWoE/view?usp=sharing" TargetMode="External"/><Relationship Id="rId40" Type="http://schemas.openxmlformats.org/officeDocument/2006/relationships/hyperlink" Target="https://drive.google.com/file/d/1gnHGjtL72ulNre6gVOQVFZN95UEUsrDd/view?usp=sharing" TargetMode="External"/><Relationship Id="rId45" Type="http://schemas.openxmlformats.org/officeDocument/2006/relationships/hyperlink" Target="https://drive.google.com/drive/folders/1e6MMUFJF_2uY-UuMMn6GjLQjLlGJw1Sq" TargetMode="External"/><Relationship Id="rId66" Type="http://schemas.openxmlformats.org/officeDocument/2006/relationships/hyperlink" Target="https://drive.google.com/file/d/1tVJumLgutNO4hmLqvgR-Td41j6EGhxBE/view?usp=sharing" TargetMode="External"/><Relationship Id="rId87" Type="http://schemas.openxmlformats.org/officeDocument/2006/relationships/hyperlink" Target="https://drive.google.com/file/d/1CLWIVlF7zVMABPJU8m-IAoPbysTlj3Kf/view?usp=sharing" TargetMode="External"/><Relationship Id="rId110" Type="http://schemas.openxmlformats.org/officeDocument/2006/relationships/hyperlink" Target="https://drive.google.com/file/d/1roPE2Sd4Ncf0AzVQ-dNtyQvNqEQIIKgA/view?usp=sharing" TargetMode="External"/><Relationship Id="rId115" Type="http://schemas.openxmlformats.org/officeDocument/2006/relationships/hyperlink" Target="https://drive.google.com/file/d/14aRd83nnQiczFUmXP6tz94M0IDlJ_7O6/view?usp=sharing" TargetMode="External"/><Relationship Id="rId131" Type="http://schemas.openxmlformats.org/officeDocument/2006/relationships/hyperlink" Target="https://drive.google.com/drive/folders/1e6MMUFJF_2uY-UuMMn6GjLQjLlGJw1Sq" TargetMode="External"/><Relationship Id="rId136" Type="http://schemas.openxmlformats.org/officeDocument/2006/relationships/hyperlink" Target="https://drive.google.com/drive/folders/1e6MMUFJF_2uY-UuMMn6GjLQjLlGJw1Sq" TargetMode="External"/><Relationship Id="rId61" Type="http://schemas.openxmlformats.org/officeDocument/2006/relationships/hyperlink" Target="https://drive.google.com/file/d/1r8fBCs17VUFhvHvRb93IlRtC6YwW6IL8/view?usp=sharing" TargetMode="External"/><Relationship Id="rId82" Type="http://schemas.openxmlformats.org/officeDocument/2006/relationships/hyperlink" Target="https://drive.google.com/file/d/17-fPxa_PL4TEae7LLs8Dng7ZRSmsiFWW/view?usp=sharing" TargetMode="External"/><Relationship Id="rId19" Type="http://schemas.openxmlformats.org/officeDocument/2006/relationships/hyperlink" Target="https://drive.google.com/file/d/1mq-bx5bhVGj6Nyp5n6w6aPE41A2vB6yl/view?usp=sharing" TargetMode="External"/><Relationship Id="rId14" Type="http://schemas.openxmlformats.org/officeDocument/2006/relationships/hyperlink" Target="https://drive.google.com/file/d/1mMCQY1IO5Qm9-1S-1dRzBUATf9y3fo63/view?usp=sharing" TargetMode="External"/><Relationship Id="rId30" Type="http://schemas.openxmlformats.org/officeDocument/2006/relationships/hyperlink" Target="https://drive.google.com/file/d/1XEQl72VT4INAb_nC1Vnd6VAv7jLvjA94/view?usp=sharing" TargetMode="External"/><Relationship Id="rId35" Type="http://schemas.openxmlformats.org/officeDocument/2006/relationships/hyperlink" Target="https://drive.google.com/file/d/1Ey49yiW6e--jCs0eM7BEDdCcH4a1fyoe/view?usp=sharing" TargetMode="External"/><Relationship Id="rId56" Type="http://schemas.openxmlformats.org/officeDocument/2006/relationships/hyperlink" Target="mailto:pokopoko19@gmail.com" TargetMode="External"/><Relationship Id="rId77" Type="http://schemas.openxmlformats.org/officeDocument/2006/relationships/hyperlink" Target="https://drive.google.com/file/d/18OQGYbL3K5fWmQBHsXUqbvluH3OHqMo2/view?usp=sharing" TargetMode="External"/><Relationship Id="rId100" Type="http://schemas.openxmlformats.org/officeDocument/2006/relationships/hyperlink" Target="https://drive.google.com/file/d/1gryOi5-rjZvwV_ButAnjjhr6hKsFMyle/view?usp=sharing" TargetMode="External"/><Relationship Id="rId105" Type="http://schemas.openxmlformats.org/officeDocument/2006/relationships/hyperlink" Target="https://drive.google.com/file/d/1eDhYdq8rh_Z8uNELOPrynX4CrV8I8urT/view?usp=sharing" TargetMode="External"/><Relationship Id="rId126" Type="http://schemas.openxmlformats.org/officeDocument/2006/relationships/hyperlink" Target="https://drive.google.com/file/d/1sRw7zpjcVcWcF03l2bQeVeLz3IKzHJ7O/view?usp=sharing" TargetMode="External"/><Relationship Id="rId8" Type="http://schemas.openxmlformats.org/officeDocument/2006/relationships/hyperlink" Target="https://drive.google.com/file/d/13k8UDkV4XgcOiWs51_nsT8ZoUI8393zd/view?usp=sharing" TargetMode="External"/><Relationship Id="rId51" Type="http://schemas.openxmlformats.org/officeDocument/2006/relationships/hyperlink" Target="https://drive.google.com/file/d/1lbOfIjl4EcAuj-15C3Fb9tAjuZsUcghS/view?usp=sharing" TargetMode="External"/><Relationship Id="rId72" Type="http://schemas.openxmlformats.org/officeDocument/2006/relationships/hyperlink" Target="https://drive.google.com/file/d/1TDalfgXoMVU7i5g35oQ1BasYaI5hUl6s/view?usp=sharing" TargetMode="External"/><Relationship Id="rId93" Type="http://schemas.openxmlformats.org/officeDocument/2006/relationships/hyperlink" Target="https://drive.google.com/drive/folders/1e6MMUFJF_2uY-UuMMn6GjLQjLlGJw1Sq" TargetMode="External"/><Relationship Id="rId98" Type="http://schemas.openxmlformats.org/officeDocument/2006/relationships/hyperlink" Target="https://drive.google.com/file/d/1N3XkTxGjVyiTsAPirSGd_9fml4YAAo0u/view?usp=sharing" TargetMode="External"/><Relationship Id="rId121" Type="http://schemas.openxmlformats.org/officeDocument/2006/relationships/hyperlink" Target="https://drive.google.com/file/d/1QIwjlsD-1AFV8-BrNReEeoazU0FyVxMi/view?usp=sharing" TargetMode="External"/><Relationship Id="rId3" Type="http://schemas.openxmlformats.org/officeDocument/2006/relationships/hyperlink" Target="https://drive.google.com/file/d/1UuM6U1qpjCM2abg2hivVZDV_1lKnrs9J/view?usp=sharing" TargetMode="External"/><Relationship Id="rId25" Type="http://schemas.openxmlformats.org/officeDocument/2006/relationships/hyperlink" Target="https://drive.google.com/file/d/11SsoEXwbphEO_dJ4Gl0mc310A7Xbb86W/view?usp=sharing" TargetMode="External"/><Relationship Id="rId46" Type="http://schemas.openxmlformats.org/officeDocument/2006/relationships/hyperlink" Target="https://drive.google.com/drive/folders/1e6MMUFJF_2uY-UuMMn6GjLQjLlGJw1Sq" TargetMode="External"/><Relationship Id="rId67" Type="http://schemas.openxmlformats.org/officeDocument/2006/relationships/hyperlink" Target="https://drive.google.com/file/d/1LgVcxUqFZlBuSaqtAwQ5SJFymQNztjTB/view?usp=sharing" TargetMode="External"/><Relationship Id="rId116" Type="http://schemas.openxmlformats.org/officeDocument/2006/relationships/hyperlink" Target="https://drive.google.com/file/d/1_MKewLm37P7i1I_6_5b2KEoqELOtEi26/view?usp=sharing" TargetMode="External"/><Relationship Id="rId137" Type="http://schemas.openxmlformats.org/officeDocument/2006/relationships/vmlDrawing" Target="../drawings/vmlDrawing1.vml"/><Relationship Id="rId20" Type="http://schemas.openxmlformats.org/officeDocument/2006/relationships/hyperlink" Target="https://drive.google.com/drive/folders/1ABLfAixvi86Wm9kMSblxMtu_xPaMxh5i?usp=sharing" TargetMode="External"/><Relationship Id="rId41" Type="http://schemas.openxmlformats.org/officeDocument/2006/relationships/hyperlink" Target="https://drive.google.com/drive/folders/1e6MMUFJF_2uY-UuMMn6GjLQjLlGJw1Sq" TargetMode="External"/><Relationship Id="rId62" Type="http://schemas.openxmlformats.org/officeDocument/2006/relationships/hyperlink" Target="https://drive.google.com/file/d/1jaLYGYsspJ51hGaGA_Yqm6u0n5ivpAsa/view?usp=sharing" TargetMode="External"/><Relationship Id="rId83" Type="http://schemas.openxmlformats.org/officeDocument/2006/relationships/hyperlink" Target="https://drive.google.com/file/d/1pXoGgM1kVMT2Fk3np1mIgQxFcKZNlt6c/view?usp=sharing" TargetMode="External"/><Relationship Id="rId88" Type="http://schemas.openxmlformats.org/officeDocument/2006/relationships/hyperlink" Target="https://drive.google.com/file/d/10mXBu7laINHQqaeULLIsBA9EUWJ3iI-c/view?usp=sharing" TargetMode="External"/><Relationship Id="rId111" Type="http://schemas.openxmlformats.org/officeDocument/2006/relationships/hyperlink" Target="https://drive.google.com/file/d/1iqJ61-Ep0fNvgZx6mjr-MbOJQEiZsV7-/view?usp=sharing" TargetMode="External"/><Relationship Id="rId132" Type="http://schemas.openxmlformats.org/officeDocument/2006/relationships/hyperlink" Target="https://drive.google.com/file/d/1_KEai5m64rUVip-UQapVqB_Qg5MPuNzX/view?usp=sharing" TargetMode="External"/><Relationship Id="rId15" Type="http://schemas.openxmlformats.org/officeDocument/2006/relationships/hyperlink" Target="https://drive.google.com/file/d/1tSBudEI0u_ykmnEYX6ikPo3f8D-Vwnk-/view?usp=sharing" TargetMode="External"/><Relationship Id="rId36" Type="http://schemas.openxmlformats.org/officeDocument/2006/relationships/hyperlink" Target="https://drive.google.com/file/d/1YvPazKUwQs9rWMBFzFcRYr5c0qBFEy3l/view?usp=sharing" TargetMode="External"/><Relationship Id="rId57" Type="http://schemas.openxmlformats.org/officeDocument/2006/relationships/hyperlink" Target="https://drive.google.com/file/d/1GimXf1szCpwjr8IPTS8CGyJhWiwTJ5TQ/view?usp=sharing" TargetMode="External"/><Relationship Id="rId106" Type="http://schemas.openxmlformats.org/officeDocument/2006/relationships/hyperlink" Target="https://drive.google.com/file/d/128WRyLB71evlSNpO__9fp75XVhoj2Ass/view?usp=sharing" TargetMode="External"/><Relationship Id="rId127" Type="http://schemas.openxmlformats.org/officeDocument/2006/relationships/hyperlink" Target="https://drive.google.com/file/d/1-kfVSwcFCjBRQHuQ-SobPL0ZNqa0FQWr/view?usp=sharing" TargetMode="External"/><Relationship Id="rId10" Type="http://schemas.openxmlformats.org/officeDocument/2006/relationships/hyperlink" Target="http://tni.ad/" TargetMode="External"/><Relationship Id="rId31" Type="http://schemas.openxmlformats.org/officeDocument/2006/relationships/hyperlink" Target="https://drive.google.com/file/d/1Hc42cgobdd65UplgPLjU-0SLCr-KyaqC/view?usp=sharing" TargetMode="External"/><Relationship Id="rId52" Type="http://schemas.openxmlformats.org/officeDocument/2006/relationships/hyperlink" Target="https://drive.google.com/file/d/1SH0k5VgLRFKzujlW8gMzJMdScnl5-N14/view?usp=sharing" TargetMode="External"/><Relationship Id="rId73" Type="http://schemas.openxmlformats.org/officeDocument/2006/relationships/hyperlink" Target="https://drive.google.com/file/d/1Yq59gRzrjU-0FaqHzKa8ElY6v7RoqXZt/view?usp=sharing" TargetMode="External"/><Relationship Id="rId78" Type="http://schemas.openxmlformats.org/officeDocument/2006/relationships/hyperlink" Target="https://drive.google.com/file/d/1mRpSSaz_MXYadlW-AlXCVZAm3g43lHy9/view?usp=sharing" TargetMode="External"/><Relationship Id="rId94" Type="http://schemas.openxmlformats.org/officeDocument/2006/relationships/hyperlink" Target="https://drive.google.com/file/d/1c9TNQ38a3THJDTgqdPnY1DBZncPP9cEs/view?usp=sharing" TargetMode="External"/><Relationship Id="rId99" Type="http://schemas.openxmlformats.org/officeDocument/2006/relationships/hyperlink" Target="https://drive.google.com/file/d/1GMqqj8iA7GnIEOQAsRGTgzZ2Vhx59DMy/view?usp=sharing" TargetMode="External"/><Relationship Id="rId101" Type="http://schemas.openxmlformats.org/officeDocument/2006/relationships/hyperlink" Target="https://drive.google.com/file/d/1KrneBfIKotwwYDlG4zZgqxBDqxXIhgiX/view?usp=sharing" TargetMode="External"/><Relationship Id="rId122" Type="http://schemas.openxmlformats.org/officeDocument/2006/relationships/hyperlink" Target="https://drive.google.com/file/d/1FxN1-kC3HQoxJPqlztNB2TnFQvF7WNmV/view?usp=sharing" TargetMode="External"/><Relationship Id="rId4" Type="http://schemas.openxmlformats.org/officeDocument/2006/relationships/hyperlink" Target="https://drive.google.com/file/d/1SZmmHAvbTjoiaaNVAf_EhvXyeymljnil/view?usp=sharing" TargetMode="External"/><Relationship Id="rId9" Type="http://schemas.openxmlformats.org/officeDocument/2006/relationships/hyperlink" Target="https://drive.google.com/file/d/1wXHt50CsVujIOCVxF2NTTUEeQsGriCLl/view?usp=sharing" TargetMode="External"/><Relationship Id="rId26" Type="http://schemas.openxmlformats.org/officeDocument/2006/relationships/hyperlink" Target="https://drive.google.com/file/d/180rGdHPdVTxd6Ghym1mVLMx3egvdvr5o/view?usp=sharing" TargetMode="External"/><Relationship Id="rId47" Type="http://schemas.openxmlformats.org/officeDocument/2006/relationships/hyperlink" Target="https://drive.google.com/file/d/1Ej7aDbvVwskY63OBs4srHEl97ZUlQWv8/view?usp=sharing" TargetMode="External"/><Relationship Id="rId68" Type="http://schemas.openxmlformats.org/officeDocument/2006/relationships/hyperlink" Target="https://drive.google.com/file/d/1cz1bIK642yOB5KXQ58ATe61tUVGn5m_q/view?usp=sharing" TargetMode="External"/><Relationship Id="rId89" Type="http://schemas.openxmlformats.org/officeDocument/2006/relationships/hyperlink" Target="https://drive.google.com/file/d/1Uxpi4iPwAL8ZORizBVz-dId0damW5OCf/view?usp=sharing" TargetMode="External"/><Relationship Id="rId112" Type="http://schemas.openxmlformats.org/officeDocument/2006/relationships/hyperlink" Target="https://drive.google.com/file/d/1uQiZXBtO9esRCRA88Qv3xDZe-HX2Yfpb/view?usp=sharing" TargetMode="External"/><Relationship Id="rId133" Type="http://schemas.openxmlformats.org/officeDocument/2006/relationships/hyperlink" Target="https://drive.google.com/file/d/1LL_uv7e0h4umpWkCXPdLX8DcMobETmt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D9A9-C971-4285-9722-09CC418975F9}">
  <dimension ref="A1:P248"/>
  <sheetViews>
    <sheetView workbookViewId="0">
      <selection sqref="A1:P248"/>
    </sheetView>
  </sheetViews>
  <sheetFormatPr defaultRowHeight="14.4" x14ac:dyDescent="0.3"/>
  <sheetData>
    <row r="1" spans="1:16" ht="7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s="5"/>
      <c r="B2" s="6"/>
      <c r="C2" s="7"/>
      <c r="D2" s="7"/>
      <c r="E2" s="7"/>
      <c r="F2" s="7"/>
      <c r="G2" s="7"/>
      <c r="H2" s="8" t="s">
        <v>16</v>
      </c>
      <c r="I2" s="9" t="s">
        <v>16</v>
      </c>
      <c r="J2" s="8" t="s">
        <v>16</v>
      </c>
      <c r="K2" s="8" t="s">
        <v>16</v>
      </c>
      <c r="L2" s="9" t="s">
        <v>16</v>
      </c>
      <c r="M2" s="10" t="s">
        <v>16</v>
      </c>
      <c r="N2" s="11" t="s">
        <v>16</v>
      </c>
      <c r="O2" s="11" t="s">
        <v>16</v>
      </c>
      <c r="P2" s="11" t="s">
        <v>16</v>
      </c>
    </row>
    <row r="3" spans="1:16" ht="409.6" x14ac:dyDescent="0.3">
      <c r="A3" s="12" t="s">
        <v>17</v>
      </c>
      <c r="B3" s="6">
        <v>1</v>
      </c>
      <c r="C3" s="7" t="s">
        <v>18</v>
      </c>
      <c r="D3" s="7" t="s">
        <v>19</v>
      </c>
      <c r="E3" s="7" t="s">
        <v>20</v>
      </c>
      <c r="F3" s="7" t="b">
        <v>1</v>
      </c>
      <c r="G3" s="13" t="s">
        <v>21</v>
      </c>
      <c r="H3" s="7" t="s">
        <v>22</v>
      </c>
      <c r="I3" s="14" t="s">
        <v>23</v>
      </c>
      <c r="J3" s="7" t="s">
        <v>24</v>
      </c>
      <c r="K3" s="14" t="s">
        <v>25</v>
      </c>
      <c r="L3" s="14" t="s">
        <v>26</v>
      </c>
      <c r="M3" s="14" t="s">
        <v>27</v>
      </c>
      <c r="N3" s="7" t="s">
        <v>28</v>
      </c>
      <c r="O3" s="15" t="s">
        <v>29</v>
      </c>
      <c r="P3" s="16" t="s">
        <v>30</v>
      </c>
    </row>
    <row r="4" spans="1:16" ht="288" x14ac:dyDescent="0.3">
      <c r="A4" s="17"/>
      <c r="B4" s="6">
        <v>2</v>
      </c>
      <c r="C4" s="7" t="s">
        <v>31</v>
      </c>
      <c r="D4" s="7" t="s">
        <v>32</v>
      </c>
      <c r="E4" s="7" t="s">
        <v>33</v>
      </c>
      <c r="F4" s="7" t="b">
        <v>1</v>
      </c>
      <c r="G4" s="7" t="s">
        <v>34</v>
      </c>
      <c r="H4" s="7" t="s">
        <v>35</v>
      </c>
      <c r="I4" s="14" t="s">
        <v>36</v>
      </c>
      <c r="J4" s="7" t="s">
        <v>37</v>
      </c>
      <c r="K4" s="14" t="s">
        <v>38</v>
      </c>
      <c r="L4" s="14" t="s">
        <v>39</v>
      </c>
      <c r="M4" s="14" t="s">
        <v>40</v>
      </c>
      <c r="N4" s="7" t="s">
        <v>41</v>
      </c>
      <c r="O4" s="7" t="s">
        <v>42</v>
      </c>
      <c r="P4" s="7" t="s">
        <v>43</v>
      </c>
    </row>
    <row r="5" spans="1:16" ht="244.8" x14ac:dyDescent="0.3">
      <c r="A5" s="17"/>
      <c r="B5" s="6">
        <v>3</v>
      </c>
      <c r="C5" s="7" t="s">
        <v>44</v>
      </c>
      <c r="D5" s="7" t="s">
        <v>32</v>
      </c>
      <c r="E5" s="7" t="s">
        <v>45</v>
      </c>
      <c r="F5" s="7" t="b">
        <v>1</v>
      </c>
      <c r="G5" s="7" t="s">
        <v>46</v>
      </c>
      <c r="H5" s="7" t="s">
        <v>47</v>
      </c>
      <c r="I5" s="14" t="s">
        <v>48</v>
      </c>
      <c r="J5" s="7" t="s">
        <v>49</v>
      </c>
      <c r="K5" s="14" t="s">
        <v>50</v>
      </c>
      <c r="L5" s="14" t="s">
        <v>51</v>
      </c>
      <c r="M5" s="14" t="s">
        <v>52</v>
      </c>
      <c r="N5" s="7" t="s">
        <v>53</v>
      </c>
      <c r="O5" s="7" t="s">
        <v>54</v>
      </c>
      <c r="P5" s="7" t="s">
        <v>49</v>
      </c>
    </row>
    <row r="6" spans="1:16" ht="409.6" x14ac:dyDescent="0.3">
      <c r="A6" s="17"/>
      <c r="B6" s="6">
        <v>4</v>
      </c>
      <c r="C6" s="7" t="s">
        <v>55</v>
      </c>
      <c r="D6" s="7" t="s">
        <v>56</v>
      </c>
      <c r="E6" s="7" t="s">
        <v>57</v>
      </c>
      <c r="F6" s="7" t="b">
        <v>1</v>
      </c>
      <c r="G6" s="7"/>
      <c r="H6" s="18" t="s">
        <v>58</v>
      </c>
      <c r="I6" s="14" t="s">
        <v>59</v>
      </c>
      <c r="J6" s="18">
        <v>32843</v>
      </c>
      <c r="K6" s="18" t="s">
        <v>60</v>
      </c>
      <c r="L6" s="19">
        <v>34490</v>
      </c>
      <c r="M6" s="19">
        <v>34826</v>
      </c>
      <c r="N6" s="7" t="s">
        <v>61</v>
      </c>
      <c r="O6" s="20">
        <v>36465</v>
      </c>
      <c r="P6" s="7" t="s">
        <v>62</v>
      </c>
    </row>
    <row r="7" spans="1:16" ht="259.2" x14ac:dyDescent="0.3">
      <c r="A7" s="17"/>
      <c r="B7" s="6">
        <v>5</v>
      </c>
      <c r="C7" s="7" t="s">
        <v>63</v>
      </c>
      <c r="D7" s="7" t="s">
        <v>64</v>
      </c>
      <c r="E7" s="7" t="s">
        <v>65</v>
      </c>
      <c r="F7" s="7" t="b">
        <v>1</v>
      </c>
      <c r="G7" s="7"/>
      <c r="H7" s="7" t="s">
        <v>66</v>
      </c>
      <c r="I7" s="14" t="s">
        <v>66</v>
      </c>
      <c r="J7" s="7" t="s">
        <v>67</v>
      </c>
      <c r="K7" s="14" t="s">
        <v>66</v>
      </c>
      <c r="L7" s="14" t="s">
        <v>67</v>
      </c>
      <c r="M7" s="14" t="s">
        <v>67</v>
      </c>
      <c r="N7" s="7" t="s">
        <v>67</v>
      </c>
      <c r="O7" s="7" t="s">
        <v>67</v>
      </c>
      <c r="P7" s="7" t="s">
        <v>67</v>
      </c>
    </row>
    <row r="8" spans="1:16" ht="259.2" x14ac:dyDescent="0.3">
      <c r="A8" s="17"/>
      <c r="B8" s="6">
        <v>6</v>
      </c>
      <c r="C8" s="7" t="s">
        <v>68</v>
      </c>
      <c r="D8" s="7" t="s">
        <v>69</v>
      </c>
      <c r="E8" s="7" t="s">
        <v>70</v>
      </c>
      <c r="F8" s="7" t="b">
        <v>1</v>
      </c>
      <c r="G8" s="7"/>
      <c r="H8" s="7" t="s">
        <v>71</v>
      </c>
      <c r="I8" s="14" t="s">
        <v>71</v>
      </c>
      <c r="J8" s="14" t="s">
        <v>71</v>
      </c>
      <c r="K8" s="14" t="s">
        <v>72</v>
      </c>
      <c r="L8" s="14" t="s">
        <v>73</v>
      </c>
      <c r="M8" s="14" t="s">
        <v>73</v>
      </c>
      <c r="N8" s="7" t="s">
        <v>71</v>
      </c>
      <c r="O8" s="7" t="s">
        <v>71</v>
      </c>
      <c r="P8" s="7" t="s">
        <v>71</v>
      </c>
    </row>
    <row r="9" spans="1:16" ht="201.6" x14ac:dyDescent="0.3">
      <c r="A9" s="17"/>
      <c r="B9" s="6">
        <v>7</v>
      </c>
      <c r="C9" s="7" t="s">
        <v>74</v>
      </c>
      <c r="D9" s="7" t="s">
        <v>32</v>
      </c>
      <c r="E9" s="7" t="s">
        <v>75</v>
      </c>
      <c r="F9" s="7" t="b">
        <v>1</v>
      </c>
      <c r="G9" s="13" t="s">
        <v>76</v>
      </c>
      <c r="H9" s="7" t="s">
        <v>77</v>
      </c>
      <c r="I9" s="14" t="s">
        <v>78</v>
      </c>
      <c r="J9" s="7" t="s">
        <v>79</v>
      </c>
      <c r="K9" s="14" t="s">
        <v>80</v>
      </c>
      <c r="L9" s="14" t="s">
        <v>81</v>
      </c>
      <c r="M9" s="14" t="s">
        <v>82</v>
      </c>
      <c r="N9" s="7" t="s">
        <v>83</v>
      </c>
      <c r="O9" s="7" t="s">
        <v>84</v>
      </c>
      <c r="P9" s="7" t="s">
        <v>85</v>
      </c>
    </row>
    <row r="10" spans="1:16" ht="302.39999999999998" x14ac:dyDescent="0.3">
      <c r="A10" s="17"/>
      <c r="B10" s="6">
        <v>8</v>
      </c>
      <c r="C10" s="7" t="s">
        <v>86</v>
      </c>
      <c r="D10" s="7" t="s">
        <v>87</v>
      </c>
      <c r="E10" s="7" t="s">
        <v>88</v>
      </c>
      <c r="F10" s="7" t="b">
        <v>1</v>
      </c>
      <c r="G10" s="7"/>
      <c r="H10" s="16" t="s">
        <v>89</v>
      </c>
      <c r="I10" s="21" t="s">
        <v>90</v>
      </c>
      <c r="J10" s="16" t="s">
        <v>91</v>
      </c>
      <c r="K10" s="21" t="s">
        <v>90</v>
      </c>
      <c r="L10" s="21" t="s">
        <v>92</v>
      </c>
      <c r="M10" s="21" t="s">
        <v>90</v>
      </c>
      <c r="N10" s="16" t="s">
        <v>91</v>
      </c>
      <c r="O10" s="16" t="s">
        <v>93</v>
      </c>
      <c r="P10" s="16" t="s">
        <v>91</v>
      </c>
    </row>
    <row r="11" spans="1:16" ht="302.39999999999998" x14ac:dyDescent="0.3">
      <c r="A11" s="17"/>
      <c r="B11" s="6">
        <v>9</v>
      </c>
      <c r="C11" s="7" t="s">
        <v>94</v>
      </c>
      <c r="D11" s="7" t="s">
        <v>87</v>
      </c>
      <c r="E11" s="7" t="s">
        <v>88</v>
      </c>
      <c r="F11" s="7" t="b">
        <v>1</v>
      </c>
      <c r="G11" s="7"/>
      <c r="H11" s="16" t="s">
        <v>95</v>
      </c>
      <c r="I11" s="21" t="s">
        <v>92</v>
      </c>
      <c r="J11" s="16" t="s">
        <v>95</v>
      </c>
      <c r="K11" s="21" t="s">
        <v>96</v>
      </c>
      <c r="L11" s="21" t="s">
        <v>93</v>
      </c>
      <c r="M11" s="21" t="s">
        <v>97</v>
      </c>
      <c r="N11" s="16" t="s">
        <v>93</v>
      </c>
      <c r="O11" s="16" t="s">
        <v>98</v>
      </c>
      <c r="P11" s="16" t="s">
        <v>98</v>
      </c>
    </row>
    <row r="12" spans="1:16" ht="201.6" x14ac:dyDescent="0.3">
      <c r="A12" s="17"/>
      <c r="B12" s="6">
        <v>10</v>
      </c>
      <c r="C12" s="7" t="s">
        <v>99</v>
      </c>
      <c r="D12" s="7" t="s">
        <v>32</v>
      </c>
      <c r="E12" s="7" t="s">
        <v>100</v>
      </c>
      <c r="F12" s="7" t="b">
        <v>1</v>
      </c>
      <c r="G12" s="7"/>
      <c r="H12" s="7" t="s">
        <v>101</v>
      </c>
      <c r="I12" s="14" t="s">
        <v>102</v>
      </c>
      <c r="J12" s="7" t="s">
        <v>103</v>
      </c>
      <c r="K12" s="14" t="s">
        <v>104</v>
      </c>
      <c r="L12" s="14" t="s">
        <v>105</v>
      </c>
      <c r="M12" s="14" t="s">
        <v>106</v>
      </c>
      <c r="N12" s="7" t="s">
        <v>107</v>
      </c>
      <c r="O12" s="7" t="s">
        <v>108</v>
      </c>
      <c r="P12" s="7" t="s">
        <v>109</v>
      </c>
    </row>
    <row r="13" spans="1:16" ht="201.6" x14ac:dyDescent="0.3">
      <c r="A13" s="17"/>
      <c r="B13" s="6">
        <v>11</v>
      </c>
      <c r="C13" s="7" t="s">
        <v>110</v>
      </c>
      <c r="D13" s="7" t="s">
        <v>32</v>
      </c>
      <c r="E13" s="7" t="s">
        <v>100</v>
      </c>
      <c r="F13" s="7" t="b">
        <v>1</v>
      </c>
      <c r="G13" s="7"/>
      <c r="H13" s="7" t="s">
        <v>111</v>
      </c>
      <c r="I13" s="14" t="s">
        <v>112</v>
      </c>
      <c r="J13" s="7" t="s">
        <v>113</v>
      </c>
      <c r="K13" s="14" t="s">
        <v>114</v>
      </c>
      <c r="L13" s="14" t="s">
        <v>115</v>
      </c>
      <c r="M13" s="14" t="s">
        <v>116</v>
      </c>
      <c r="N13" s="7" t="s">
        <v>117</v>
      </c>
      <c r="O13" s="7" t="s">
        <v>118</v>
      </c>
      <c r="P13" s="7" t="s">
        <v>119</v>
      </c>
    </row>
    <row r="14" spans="1:16" ht="403.2" x14ac:dyDescent="0.3">
      <c r="A14" s="17"/>
      <c r="B14" s="6">
        <v>12</v>
      </c>
      <c r="C14" s="7" t="s">
        <v>120</v>
      </c>
      <c r="D14" s="7" t="s">
        <v>121</v>
      </c>
      <c r="E14" s="7" t="s">
        <v>122</v>
      </c>
      <c r="F14" s="7" t="b">
        <v>1</v>
      </c>
      <c r="G14" s="7"/>
      <c r="H14" s="7" t="s">
        <v>123</v>
      </c>
      <c r="I14" s="14" t="s">
        <v>124</v>
      </c>
      <c r="J14" s="7" t="s">
        <v>125</v>
      </c>
      <c r="K14" s="14" t="s">
        <v>123</v>
      </c>
      <c r="L14" s="14" t="s">
        <v>126</v>
      </c>
      <c r="M14" s="14" t="s">
        <v>127</v>
      </c>
      <c r="N14" s="7" t="s">
        <v>127</v>
      </c>
      <c r="O14" s="7" t="s">
        <v>125</v>
      </c>
      <c r="P14" s="7" t="s">
        <v>127</v>
      </c>
    </row>
    <row r="15" spans="1:16" ht="273.60000000000002" x14ac:dyDescent="0.3">
      <c r="A15" s="17"/>
      <c r="B15" s="6">
        <v>13</v>
      </c>
      <c r="C15" s="7" t="s">
        <v>128</v>
      </c>
      <c r="D15" s="7" t="s">
        <v>129</v>
      </c>
      <c r="E15" s="7" t="s">
        <v>130</v>
      </c>
      <c r="F15" s="7" t="b">
        <v>1</v>
      </c>
      <c r="G15" s="7"/>
      <c r="H15" s="7" t="s">
        <v>131</v>
      </c>
      <c r="I15" s="14" t="s">
        <v>132</v>
      </c>
      <c r="J15" s="7" t="s">
        <v>133</v>
      </c>
      <c r="K15" s="14" t="s">
        <v>134</v>
      </c>
      <c r="L15" s="14" t="s">
        <v>133</v>
      </c>
      <c r="M15" s="14" t="s">
        <v>134</v>
      </c>
      <c r="N15" s="7" t="s">
        <v>132</v>
      </c>
      <c r="O15" s="7" t="s">
        <v>133</v>
      </c>
      <c r="P15" s="7" t="s">
        <v>133</v>
      </c>
    </row>
    <row r="16" spans="1:16" ht="201.6" x14ac:dyDescent="0.3">
      <c r="A16" s="17"/>
      <c r="B16" s="6">
        <v>14</v>
      </c>
      <c r="C16" s="7" t="s">
        <v>135</v>
      </c>
      <c r="D16" s="7" t="s">
        <v>32</v>
      </c>
      <c r="E16" s="7" t="s">
        <v>100</v>
      </c>
      <c r="F16" s="7" t="b">
        <v>1</v>
      </c>
      <c r="G16" s="7"/>
      <c r="H16" s="7" t="s">
        <v>136</v>
      </c>
      <c r="I16" s="14" t="s">
        <v>137</v>
      </c>
      <c r="J16" s="7" t="s">
        <v>138</v>
      </c>
      <c r="K16" s="14" t="s">
        <v>136</v>
      </c>
      <c r="L16" s="22" t="s">
        <v>139</v>
      </c>
      <c r="M16" s="14" t="s">
        <v>138</v>
      </c>
      <c r="N16" s="7" t="s">
        <v>138</v>
      </c>
      <c r="O16" s="7" t="s">
        <v>138</v>
      </c>
      <c r="P16" s="7" t="s">
        <v>136</v>
      </c>
    </row>
    <row r="17" spans="1:16" ht="187.2" x14ac:dyDescent="0.3">
      <c r="A17" s="17"/>
      <c r="B17" s="6">
        <v>15</v>
      </c>
      <c r="C17" s="7" t="s">
        <v>140</v>
      </c>
      <c r="D17" s="7" t="s">
        <v>141</v>
      </c>
      <c r="E17" s="7" t="s">
        <v>142</v>
      </c>
      <c r="F17" s="7" t="b">
        <v>1</v>
      </c>
      <c r="G17" s="7"/>
      <c r="H17" s="7" t="s">
        <v>143</v>
      </c>
      <c r="I17" s="14" t="s">
        <v>143</v>
      </c>
      <c r="J17" s="7" t="s">
        <v>143</v>
      </c>
      <c r="K17" s="14" t="s">
        <v>143</v>
      </c>
      <c r="L17" s="14" t="s">
        <v>143</v>
      </c>
      <c r="M17" s="14" t="s">
        <v>143</v>
      </c>
      <c r="N17" s="7" t="s">
        <v>143</v>
      </c>
      <c r="O17" s="7" t="s">
        <v>143</v>
      </c>
      <c r="P17" s="7" t="s">
        <v>143</v>
      </c>
    </row>
    <row r="18" spans="1:16" ht="409.6" x14ac:dyDescent="0.3">
      <c r="A18" s="17"/>
      <c r="B18" s="6">
        <v>16</v>
      </c>
      <c r="C18" s="7" t="s">
        <v>144</v>
      </c>
      <c r="D18" s="7" t="s">
        <v>145</v>
      </c>
      <c r="E18" s="7" t="s">
        <v>146</v>
      </c>
      <c r="F18" s="7" t="b">
        <v>1</v>
      </c>
      <c r="G18" s="7"/>
      <c r="H18" s="7" t="s">
        <v>147</v>
      </c>
      <c r="I18" s="14" t="s">
        <v>147</v>
      </c>
      <c r="J18" s="7" t="s">
        <v>147</v>
      </c>
      <c r="K18" s="14" t="s">
        <v>147</v>
      </c>
      <c r="L18" s="14" t="s">
        <v>147</v>
      </c>
      <c r="M18" s="14" t="s">
        <v>147</v>
      </c>
      <c r="N18" s="7" t="s">
        <v>147</v>
      </c>
      <c r="O18" s="7" t="s">
        <v>147</v>
      </c>
      <c r="P18" s="7" t="s">
        <v>147</v>
      </c>
    </row>
    <row r="19" spans="1:16" ht="409.6" x14ac:dyDescent="0.3">
      <c r="A19" s="17"/>
      <c r="B19" s="6">
        <v>17</v>
      </c>
      <c r="C19" s="7" t="s">
        <v>148</v>
      </c>
      <c r="D19" s="7" t="s">
        <v>149</v>
      </c>
      <c r="E19" s="7" t="s">
        <v>150</v>
      </c>
      <c r="F19" s="7" t="b">
        <v>1</v>
      </c>
      <c r="G19" s="7"/>
      <c r="H19" s="7" t="s">
        <v>151</v>
      </c>
      <c r="I19" s="14" t="s">
        <v>152</v>
      </c>
      <c r="J19" s="7" t="s">
        <v>153</v>
      </c>
      <c r="K19" s="14" t="s">
        <v>154</v>
      </c>
      <c r="L19" s="14" t="s">
        <v>155</v>
      </c>
      <c r="M19" s="14" t="s">
        <v>156</v>
      </c>
      <c r="N19" s="7" t="s">
        <v>157</v>
      </c>
      <c r="O19" s="7" t="s">
        <v>158</v>
      </c>
      <c r="P19" s="7" t="s">
        <v>159</v>
      </c>
    </row>
    <row r="20" spans="1:16" ht="187.2" x14ac:dyDescent="0.3">
      <c r="A20" s="17"/>
      <c r="B20" s="6">
        <v>18</v>
      </c>
      <c r="C20" s="7" t="s">
        <v>160</v>
      </c>
      <c r="D20" s="7" t="s">
        <v>161</v>
      </c>
      <c r="E20" s="7" t="s">
        <v>162</v>
      </c>
      <c r="F20" s="7" t="b">
        <v>1</v>
      </c>
      <c r="G20" s="7"/>
      <c r="H20" s="23" t="s">
        <v>163</v>
      </c>
      <c r="I20" s="24" t="s">
        <v>163</v>
      </c>
      <c r="J20" s="23" t="s">
        <v>163</v>
      </c>
      <c r="K20" s="23" t="s">
        <v>163</v>
      </c>
      <c r="L20" s="23" t="s">
        <v>163</v>
      </c>
      <c r="M20" s="23" t="s">
        <v>163</v>
      </c>
      <c r="N20" s="8" t="s">
        <v>164</v>
      </c>
      <c r="O20" s="23" t="s">
        <v>164</v>
      </c>
      <c r="P20" s="23" t="s">
        <v>164</v>
      </c>
    </row>
    <row r="21" spans="1:16" ht="72" x14ac:dyDescent="0.3">
      <c r="A21" s="17"/>
      <c r="B21" s="6">
        <v>19</v>
      </c>
      <c r="C21" s="7" t="s">
        <v>165</v>
      </c>
      <c r="D21" s="7" t="s">
        <v>161</v>
      </c>
      <c r="E21" s="7" t="s">
        <v>166</v>
      </c>
      <c r="F21" s="7" t="b">
        <v>1</v>
      </c>
      <c r="G21" s="7"/>
      <c r="H21" s="8" t="s">
        <v>163</v>
      </c>
      <c r="I21" s="9" t="s">
        <v>163</v>
      </c>
      <c r="J21" s="8" t="s">
        <v>163</v>
      </c>
      <c r="K21" s="8" t="s">
        <v>163</v>
      </c>
      <c r="L21" s="23" t="s">
        <v>163</v>
      </c>
      <c r="M21" s="8" t="s">
        <v>163</v>
      </c>
      <c r="N21" s="8" t="s">
        <v>164</v>
      </c>
      <c r="O21" s="8" t="s">
        <v>164</v>
      </c>
      <c r="P21" s="23" t="s">
        <v>164</v>
      </c>
    </row>
    <row r="22" spans="1:16" ht="86.4" x14ac:dyDescent="0.3">
      <c r="A22" s="17"/>
      <c r="B22" s="6">
        <v>20</v>
      </c>
      <c r="C22" s="7" t="s">
        <v>167</v>
      </c>
      <c r="D22" s="7" t="s">
        <v>168</v>
      </c>
      <c r="E22" s="8" t="s">
        <v>169</v>
      </c>
      <c r="F22" s="7" t="b">
        <v>1</v>
      </c>
      <c r="G22" s="7"/>
      <c r="H22" s="7" t="s">
        <v>170</v>
      </c>
      <c r="I22" s="7" t="s">
        <v>171</v>
      </c>
      <c r="J22" s="7" t="s">
        <v>171</v>
      </c>
      <c r="K22" s="25" t="s">
        <v>170</v>
      </c>
      <c r="L22" s="25" t="s">
        <v>170</v>
      </c>
      <c r="M22" s="7" t="s">
        <v>170</v>
      </c>
      <c r="N22" s="25" t="s">
        <v>170</v>
      </c>
      <c r="O22" s="7" t="s">
        <v>170</v>
      </c>
      <c r="P22" s="25" t="s">
        <v>170</v>
      </c>
    </row>
    <row r="23" spans="1:16" x14ac:dyDescent="0.3">
      <c r="A23" s="17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3">
      <c r="A24" s="17"/>
      <c r="B24" s="6"/>
      <c r="C24" s="7" t="s">
        <v>172</v>
      </c>
      <c r="D24" s="7"/>
      <c r="E24" s="7"/>
      <c r="F24" s="7"/>
      <c r="G24" s="7"/>
      <c r="H24" s="7">
        <v>3</v>
      </c>
      <c r="I24" s="7">
        <v>3</v>
      </c>
      <c r="J24" s="7">
        <v>3</v>
      </c>
      <c r="K24" s="7">
        <v>3</v>
      </c>
      <c r="L24" s="7">
        <v>3</v>
      </c>
      <c r="M24" s="7">
        <v>3</v>
      </c>
      <c r="N24" s="7">
        <v>3</v>
      </c>
      <c r="O24" s="7">
        <v>3</v>
      </c>
      <c r="P24" s="7">
        <v>3</v>
      </c>
    </row>
    <row r="25" spans="1:16" ht="86.4" x14ac:dyDescent="0.3">
      <c r="A25" s="17"/>
      <c r="B25" s="6"/>
      <c r="C25" s="7" t="s">
        <v>173</v>
      </c>
      <c r="D25" s="7"/>
      <c r="E25" s="7"/>
      <c r="F25" s="7"/>
      <c r="G25" s="7"/>
      <c r="H25" s="7">
        <v>2</v>
      </c>
      <c r="I25" s="7">
        <v>1</v>
      </c>
      <c r="J25" s="7">
        <v>1</v>
      </c>
      <c r="K25" s="7">
        <v>1</v>
      </c>
      <c r="L25" s="7">
        <v>2</v>
      </c>
      <c r="M25" s="7">
        <v>2</v>
      </c>
      <c r="N25" s="7">
        <v>2</v>
      </c>
      <c r="O25" s="7">
        <v>2</v>
      </c>
      <c r="P25" s="7">
        <v>1</v>
      </c>
    </row>
    <row r="26" spans="1:16" x14ac:dyDescent="0.3">
      <c r="A26" s="17"/>
      <c r="B26" s="6"/>
      <c r="C26" s="14" t="s">
        <v>174</v>
      </c>
      <c r="D26" s="7"/>
      <c r="E26" s="7"/>
      <c r="F26" s="7"/>
      <c r="G26" s="7"/>
      <c r="H26" s="7">
        <v>1</v>
      </c>
      <c r="I26" s="7">
        <v>2</v>
      </c>
      <c r="J26" s="7">
        <v>2</v>
      </c>
      <c r="K26" s="7">
        <v>2</v>
      </c>
      <c r="L26" s="7">
        <v>1</v>
      </c>
      <c r="M26" s="7">
        <v>1</v>
      </c>
      <c r="N26" s="7">
        <v>1</v>
      </c>
      <c r="O26" s="7">
        <v>1</v>
      </c>
      <c r="P26" s="7">
        <v>2</v>
      </c>
    </row>
    <row r="27" spans="1:16" ht="43.2" x14ac:dyDescent="0.3">
      <c r="A27" s="12" t="s">
        <v>175</v>
      </c>
      <c r="B27" s="26" t="s">
        <v>1</v>
      </c>
      <c r="C27" s="26" t="s">
        <v>176</v>
      </c>
      <c r="D27" s="26" t="s">
        <v>177</v>
      </c>
      <c r="E27" s="26" t="s">
        <v>4</v>
      </c>
      <c r="F27" s="2" t="s">
        <v>5</v>
      </c>
      <c r="G27" s="2" t="s">
        <v>6</v>
      </c>
      <c r="H27" s="27" t="s">
        <v>178</v>
      </c>
      <c r="I27" s="27" t="s">
        <v>179</v>
      </c>
      <c r="J27" s="26" t="s">
        <v>180</v>
      </c>
      <c r="K27" s="26" t="s">
        <v>181</v>
      </c>
      <c r="L27" s="4" t="s">
        <v>11</v>
      </c>
      <c r="M27" s="4" t="s">
        <v>12</v>
      </c>
      <c r="N27" s="4" t="s">
        <v>13</v>
      </c>
      <c r="O27" s="4" t="s">
        <v>14</v>
      </c>
      <c r="P27" s="4" t="s">
        <v>15</v>
      </c>
    </row>
    <row r="28" spans="1:16" x14ac:dyDescent="0.3">
      <c r="A28" s="17"/>
      <c r="B28" s="6"/>
      <c r="C28" s="7"/>
      <c r="D28" s="7"/>
      <c r="E28" s="7"/>
      <c r="F28" s="7"/>
      <c r="G28" s="7"/>
      <c r="H28" s="28" t="s">
        <v>171</v>
      </c>
      <c r="I28" s="8" t="s">
        <v>16</v>
      </c>
      <c r="J28" s="8" t="s">
        <v>16</v>
      </c>
      <c r="K28" s="28" t="s">
        <v>171</v>
      </c>
      <c r="L28" s="10" t="s">
        <v>16</v>
      </c>
      <c r="M28" s="9" t="s">
        <v>16</v>
      </c>
      <c r="N28" s="28" t="s">
        <v>171</v>
      </c>
      <c r="O28" s="28" t="s">
        <v>171</v>
      </c>
      <c r="P28" s="28" t="s">
        <v>171</v>
      </c>
    </row>
    <row r="29" spans="1:16" ht="302.39999999999998" x14ac:dyDescent="0.3">
      <c r="A29" s="17"/>
      <c r="B29" s="6">
        <v>1</v>
      </c>
      <c r="C29" s="7" t="s">
        <v>182</v>
      </c>
      <c r="D29" s="7" t="s">
        <v>183</v>
      </c>
      <c r="E29" s="7" t="s">
        <v>184</v>
      </c>
      <c r="F29" s="7" t="b">
        <v>1</v>
      </c>
      <c r="G29" s="7"/>
      <c r="H29" s="17"/>
      <c r="I29" s="25" t="s">
        <v>185</v>
      </c>
      <c r="J29" s="14" t="s">
        <v>186</v>
      </c>
      <c r="K29" s="17"/>
      <c r="L29" s="29" t="s">
        <v>187</v>
      </c>
      <c r="M29" s="14" t="s">
        <v>188</v>
      </c>
      <c r="N29" s="17"/>
      <c r="O29" s="17"/>
      <c r="P29" s="17"/>
    </row>
    <row r="30" spans="1:16" ht="187.2" x14ac:dyDescent="0.3">
      <c r="A30" s="17"/>
      <c r="B30" s="6">
        <v>2</v>
      </c>
      <c r="C30" s="7" t="s">
        <v>189</v>
      </c>
      <c r="D30" s="7" t="s">
        <v>190</v>
      </c>
      <c r="E30" s="7" t="s">
        <v>191</v>
      </c>
      <c r="F30" s="7" t="b">
        <v>1</v>
      </c>
      <c r="G30" s="7"/>
      <c r="H30" s="17"/>
      <c r="I30" s="16" t="s">
        <v>192</v>
      </c>
      <c r="J30" s="21" t="s">
        <v>193</v>
      </c>
      <c r="K30" s="17"/>
      <c r="L30" s="21" t="s">
        <v>194</v>
      </c>
      <c r="M30" s="14">
        <v>8910112</v>
      </c>
      <c r="N30" s="17"/>
      <c r="O30" s="17"/>
      <c r="P30" s="17"/>
    </row>
    <row r="31" spans="1:16" ht="409.6" x14ac:dyDescent="0.3">
      <c r="A31" s="17"/>
      <c r="B31" s="6">
        <v>3</v>
      </c>
      <c r="C31" s="7" t="s">
        <v>195</v>
      </c>
      <c r="D31" s="7" t="s">
        <v>56</v>
      </c>
      <c r="E31" s="7" t="s">
        <v>57</v>
      </c>
      <c r="F31" s="7" t="b">
        <v>1</v>
      </c>
      <c r="G31" s="7"/>
      <c r="H31" s="17"/>
      <c r="I31" s="18">
        <v>45888</v>
      </c>
      <c r="J31" s="18">
        <v>45874</v>
      </c>
      <c r="K31" s="17"/>
      <c r="L31" s="29" t="s">
        <v>196</v>
      </c>
      <c r="M31" s="19">
        <v>45970</v>
      </c>
      <c r="N31" s="17"/>
      <c r="O31" s="17"/>
      <c r="P31" s="17"/>
    </row>
    <row r="32" spans="1:16" ht="331.2" x14ac:dyDescent="0.3">
      <c r="A32" s="17"/>
      <c r="B32" s="6">
        <v>4</v>
      </c>
      <c r="C32" s="7" t="s">
        <v>197</v>
      </c>
      <c r="D32" s="7" t="s">
        <v>183</v>
      </c>
      <c r="E32" s="7" t="s">
        <v>198</v>
      </c>
      <c r="F32" s="7" t="b">
        <v>1</v>
      </c>
      <c r="G32" s="7"/>
      <c r="H32" s="17"/>
      <c r="I32" s="7" t="s">
        <v>199</v>
      </c>
      <c r="J32" s="14" t="s">
        <v>200</v>
      </c>
      <c r="K32" s="17"/>
      <c r="L32" s="14" t="s">
        <v>201</v>
      </c>
      <c r="M32" s="14" t="s">
        <v>202</v>
      </c>
      <c r="N32" s="17"/>
      <c r="O32" s="17"/>
      <c r="P32" s="17"/>
    </row>
    <row r="33" spans="1:16" ht="331.2" x14ac:dyDescent="0.3">
      <c r="A33" s="17"/>
      <c r="B33" s="6">
        <v>5</v>
      </c>
      <c r="C33" s="7" t="s">
        <v>203</v>
      </c>
      <c r="D33" s="7" t="s">
        <v>204</v>
      </c>
      <c r="E33" s="7" t="s">
        <v>205</v>
      </c>
      <c r="F33" s="7" t="b">
        <v>1</v>
      </c>
      <c r="G33" s="7"/>
      <c r="H33" s="17"/>
      <c r="I33" s="7" t="s">
        <v>206</v>
      </c>
      <c r="J33" s="29" t="s">
        <v>206</v>
      </c>
      <c r="K33" s="17"/>
      <c r="L33" s="7" t="s">
        <v>206</v>
      </c>
      <c r="M33" s="25" t="s">
        <v>206</v>
      </c>
      <c r="N33" s="17"/>
      <c r="O33" s="17"/>
      <c r="P33" s="17"/>
    </row>
    <row r="34" spans="1:16" ht="388.8" x14ac:dyDescent="0.3">
      <c r="A34" s="17"/>
      <c r="B34" s="6">
        <v>6</v>
      </c>
      <c r="C34" s="7" t="s">
        <v>207</v>
      </c>
      <c r="D34" s="7" t="s">
        <v>204</v>
      </c>
      <c r="E34" s="7" t="s">
        <v>208</v>
      </c>
      <c r="F34" s="7" t="b">
        <v>1</v>
      </c>
      <c r="G34" s="7"/>
      <c r="H34" s="17"/>
      <c r="I34" s="7" t="s">
        <v>206</v>
      </c>
      <c r="J34" s="29" t="s">
        <v>206</v>
      </c>
      <c r="K34" s="17"/>
      <c r="L34" s="7" t="s">
        <v>206</v>
      </c>
      <c r="M34" s="25" t="s">
        <v>206</v>
      </c>
      <c r="N34" s="17"/>
      <c r="O34" s="17"/>
      <c r="P34" s="17"/>
    </row>
    <row r="35" spans="1:16" ht="360" x14ac:dyDescent="0.3">
      <c r="A35" s="17"/>
      <c r="B35" s="6">
        <v>7</v>
      </c>
      <c r="C35" s="7" t="s">
        <v>209</v>
      </c>
      <c r="D35" s="7" t="s">
        <v>204</v>
      </c>
      <c r="E35" s="7" t="s">
        <v>210</v>
      </c>
      <c r="F35" s="7" t="b">
        <v>1</v>
      </c>
      <c r="G35" s="7"/>
      <c r="H35" s="17"/>
      <c r="I35" s="7" t="s">
        <v>206</v>
      </c>
      <c r="J35" s="29" t="s">
        <v>206</v>
      </c>
      <c r="K35" s="17"/>
      <c r="L35" s="7" t="s">
        <v>206</v>
      </c>
      <c r="M35" s="25" t="s">
        <v>206</v>
      </c>
      <c r="N35" s="17"/>
      <c r="O35" s="17"/>
      <c r="P35" s="17"/>
    </row>
    <row r="36" spans="1:16" ht="244.8" x14ac:dyDescent="0.3">
      <c r="A36" s="17"/>
      <c r="B36" s="6">
        <v>8</v>
      </c>
      <c r="C36" s="7" t="s">
        <v>211</v>
      </c>
      <c r="D36" s="7" t="s">
        <v>204</v>
      </c>
      <c r="E36" s="7" t="s">
        <v>212</v>
      </c>
      <c r="F36" s="7" t="b">
        <v>1</v>
      </c>
      <c r="G36" s="7"/>
      <c r="H36" s="17"/>
      <c r="I36" s="7" t="s">
        <v>206</v>
      </c>
      <c r="J36" s="29" t="s">
        <v>206</v>
      </c>
      <c r="K36" s="17"/>
      <c r="L36" s="7" t="s">
        <v>206</v>
      </c>
      <c r="M36" s="25" t="s">
        <v>206</v>
      </c>
      <c r="N36" s="17"/>
      <c r="O36" s="17"/>
      <c r="P36" s="17"/>
    </row>
    <row r="37" spans="1:16" ht="244.8" x14ac:dyDescent="0.3">
      <c r="A37" s="17"/>
      <c r="B37" s="6">
        <v>9</v>
      </c>
      <c r="C37" s="7" t="s">
        <v>213</v>
      </c>
      <c r="D37" s="7" t="s">
        <v>204</v>
      </c>
      <c r="E37" s="7" t="s">
        <v>214</v>
      </c>
      <c r="F37" s="7" t="b">
        <v>1</v>
      </c>
      <c r="G37" s="7"/>
      <c r="H37" s="17"/>
      <c r="I37" s="7" t="s">
        <v>206</v>
      </c>
      <c r="J37" s="29" t="s">
        <v>206</v>
      </c>
      <c r="K37" s="17"/>
      <c r="L37" s="7" t="s">
        <v>206</v>
      </c>
      <c r="M37" s="25" t="s">
        <v>206</v>
      </c>
      <c r="N37" s="17"/>
      <c r="O37" s="17"/>
      <c r="P37" s="17"/>
    </row>
    <row r="38" spans="1:16" ht="316.8" x14ac:dyDescent="0.3">
      <c r="A38" s="17"/>
      <c r="B38" s="6">
        <v>10</v>
      </c>
      <c r="C38" s="7" t="s">
        <v>215</v>
      </c>
      <c r="D38" s="7" t="s">
        <v>204</v>
      </c>
      <c r="E38" s="7" t="s">
        <v>216</v>
      </c>
      <c r="F38" s="7" t="b">
        <v>1</v>
      </c>
      <c r="G38" s="7"/>
      <c r="H38" s="17"/>
      <c r="I38" s="7" t="s">
        <v>206</v>
      </c>
      <c r="J38" s="29" t="s">
        <v>206</v>
      </c>
      <c r="K38" s="17"/>
      <c r="L38" s="7" t="s">
        <v>206</v>
      </c>
      <c r="M38" s="25" t="s">
        <v>206</v>
      </c>
      <c r="N38" s="17"/>
      <c r="O38" s="17"/>
      <c r="P38" s="17"/>
    </row>
    <row r="39" spans="1:16" ht="288" x14ac:dyDescent="0.3">
      <c r="A39" s="17"/>
      <c r="B39" s="6">
        <v>11</v>
      </c>
      <c r="C39" s="7" t="s">
        <v>217</v>
      </c>
      <c r="D39" s="7" t="s">
        <v>204</v>
      </c>
      <c r="E39" s="7" t="s">
        <v>218</v>
      </c>
      <c r="F39" s="7" t="b">
        <v>1</v>
      </c>
      <c r="G39" s="7"/>
      <c r="H39" s="17"/>
      <c r="I39" s="7" t="s">
        <v>206</v>
      </c>
      <c r="J39" s="29" t="s">
        <v>206</v>
      </c>
      <c r="K39" s="17"/>
      <c r="L39" s="7" t="s">
        <v>206</v>
      </c>
      <c r="M39" s="25" t="s">
        <v>206</v>
      </c>
      <c r="N39" s="17"/>
      <c r="O39" s="17"/>
      <c r="P39" s="17"/>
    </row>
    <row r="40" spans="1:16" ht="259.2" x14ac:dyDescent="0.3">
      <c r="A40" s="17"/>
      <c r="B40" s="6">
        <v>12</v>
      </c>
      <c r="C40" s="7" t="s">
        <v>219</v>
      </c>
      <c r="D40" s="7" t="s">
        <v>183</v>
      </c>
      <c r="E40" s="7" t="s">
        <v>220</v>
      </c>
      <c r="F40" s="7" t="b">
        <v>1</v>
      </c>
      <c r="G40" s="7"/>
      <c r="H40" s="17"/>
      <c r="I40" s="25" t="s">
        <v>221</v>
      </c>
      <c r="J40" s="29" t="s">
        <v>221</v>
      </c>
      <c r="K40" s="17"/>
      <c r="L40" s="29" t="s">
        <v>221</v>
      </c>
      <c r="M40" s="14" t="s">
        <v>222</v>
      </c>
      <c r="N40" s="17"/>
      <c r="O40" s="17"/>
      <c r="P40" s="17"/>
    </row>
    <row r="41" spans="1:16" ht="259.2" x14ac:dyDescent="0.3">
      <c r="A41" s="17"/>
      <c r="B41" s="6">
        <v>13</v>
      </c>
      <c r="C41" s="7" t="s">
        <v>223</v>
      </c>
      <c r="D41" s="7" t="s">
        <v>183</v>
      </c>
      <c r="E41" s="7" t="s">
        <v>224</v>
      </c>
      <c r="F41" s="7" t="b">
        <v>1</v>
      </c>
      <c r="G41" s="7"/>
      <c r="H41" s="17"/>
      <c r="I41" s="30" t="s">
        <v>225</v>
      </c>
      <c r="J41" s="29" t="s">
        <v>225</v>
      </c>
      <c r="K41" s="17"/>
      <c r="L41" s="29" t="s">
        <v>225</v>
      </c>
      <c r="M41" s="29" t="s">
        <v>226</v>
      </c>
      <c r="N41" s="17"/>
      <c r="O41" s="17"/>
      <c r="P41" s="17"/>
    </row>
    <row r="42" spans="1:16" ht="288" x14ac:dyDescent="0.3">
      <c r="A42" s="17"/>
      <c r="B42" s="6">
        <v>14</v>
      </c>
      <c r="C42" s="7" t="s">
        <v>227</v>
      </c>
      <c r="D42" s="7" t="s">
        <v>228</v>
      </c>
      <c r="E42" s="7" t="s">
        <v>229</v>
      </c>
      <c r="F42" s="7" t="b">
        <v>1</v>
      </c>
      <c r="G42" s="7"/>
      <c r="H42" s="17"/>
      <c r="I42" s="31" t="s">
        <v>230</v>
      </c>
      <c r="J42" s="23" t="s">
        <v>163</v>
      </c>
      <c r="K42" s="17"/>
      <c r="L42" s="8" t="s">
        <v>163</v>
      </c>
      <c r="M42" s="8" t="s">
        <v>163</v>
      </c>
      <c r="N42" s="17"/>
      <c r="O42" s="17"/>
      <c r="P42" s="17"/>
    </row>
    <row r="43" spans="1:16" ht="288" x14ac:dyDescent="0.3">
      <c r="A43" s="17"/>
      <c r="B43" s="6">
        <v>15</v>
      </c>
      <c r="C43" s="7" t="s">
        <v>231</v>
      </c>
      <c r="D43" s="7" t="s">
        <v>32</v>
      </c>
      <c r="E43" s="7" t="s">
        <v>232</v>
      </c>
      <c r="F43" s="7" t="b">
        <v>1</v>
      </c>
      <c r="G43" s="7"/>
      <c r="H43" s="17"/>
      <c r="I43" s="7" t="s">
        <v>233</v>
      </c>
      <c r="J43" s="8" t="s">
        <v>163</v>
      </c>
      <c r="K43" s="17"/>
      <c r="L43" s="23" t="s">
        <v>163</v>
      </c>
      <c r="M43" s="8" t="s">
        <v>163</v>
      </c>
      <c r="N43" s="17"/>
      <c r="O43" s="17"/>
      <c r="P43" s="17"/>
    </row>
    <row r="44" spans="1:16" ht="158.4" x14ac:dyDescent="0.3">
      <c r="A44" s="17"/>
      <c r="B44" s="32">
        <v>16</v>
      </c>
      <c r="C44" s="33" t="s">
        <v>234</v>
      </c>
      <c r="D44" s="33" t="s">
        <v>235</v>
      </c>
      <c r="E44" s="34" t="s">
        <v>236</v>
      </c>
      <c r="F44" s="35" t="b">
        <v>0</v>
      </c>
      <c r="G44" s="7" t="s">
        <v>237</v>
      </c>
      <c r="H44" s="17"/>
      <c r="I44" s="7" t="s">
        <v>171</v>
      </c>
      <c r="J44" s="7" t="s">
        <v>238</v>
      </c>
      <c r="K44" s="17"/>
      <c r="L44" s="7" t="s">
        <v>238</v>
      </c>
      <c r="M44" s="7" t="s">
        <v>238</v>
      </c>
      <c r="N44" s="17"/>
      <c r="O44" s="17"/>
      <c r="P44" s="17"/>
    </row>
    <row r="45" spans="1:16" x14ac:dyDescent="0.3">
      <c r="A45" s="17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3">
      <c r="A46" s="17"/>
      <c r="B46" s="6"/>
      <c r="C46" s="7" t="s">
        <v>172</v>
      </c>
      <c r="D46" s="7"/>
      <c r="E46" s="7"/>
      <c r="F46" s="7"/>
      <c r="G46" s="7"/>
      <c r="H46" s="7"/>
      <c r="I46" s="7">
        <v>12</v>
      </c>
      <c r="J46" s="7">
        <v>12</v>
      </c>
      <c r="K46" s="7"/>
      <c r="L46" s="7">
        <v>13</v>
      </c>
      <c r="M46" s="7">
        <v>11</v>
      </c>
      <c r="N46" s="7"/>
      <c r="O46" s="7"/>
      <c r="P46" s="7"/>
    </row>
    <row r="47" spans="1:16" ht="86.4" x14ac:dyDescent="0.3">
      <c r="A47" s="17"/>
      <c r="B47" s="6"/>
      <c r="C47" s="7" t="s">
        <v>173</v>
      </c>
      <c r="D47" s="7"/>
      <c r="E47" s="7"/>
      <c r="F47" s="7"/>
      <c r="G47" s="7"/>
      <c r="H47" s="7"/>
      <c r="I47" s="7">
        <v>8</v>
      </c>
      <c r="J47" s="7">
        <v>1</v>
      </c>
      <c r="K47" s="7"/>
      <c r="L47" s="7">
        <v>8</v>
      </c>
      <c r="M47" s="7">
        <v>2</v>
      </c>
      <c r="N47" s="7"/>
      <c r="O47" s="7"/>
      <c r="P47" s="7"/>
    </row>
    <row r="48" spans="1:16" x14ac:dyDescent="0.3">
      <c r="A48" s="17"/>
      <c r="B48" s="6"/>
      <c r="C48" s="14" t="s">
        <v>174</v>
      </c>
      <c r="D48" s="7"/>
      <c r="E48" s="7"/>
      <c r="F48" s="7"/>
      <c r="G48" s="7"/>
      <c r="H48" s="7"/>
      <c r="I48" s="7">
        <v>4</v>
      </c>
      <c r="J48" s="7">
        <v>11</v>
      </c>
      <c r="K48" s="7"/>
      <c r="L48" s="7">
        <v>5</v>
      </c>
      <c r="M48" s="7">
        <v>9</v>
      </c>
      <c r="N48" s="7"/>
      <c r="O48" s="7"/>
      <c r="P48" s="7"/>
    </row>
    <row r="49" spans="1:16" ht="43.2" x14ac:dyDescent="0.3">
      <c r="A49" s="12" t="s">
        <v>239</v>
      </c>
      <c r="B49" s="26" t="s">
        <v>1</v>
      </c>
      <c r="C49" s="26" t="s">
        <v>176</v>
      </c>
      <c r="D49" s="26" t="s">
        <v>3</v>
      </c>
      <c r="E49" s="26" t="s">
        <v>4</v>
      </c>
      <c r="F49" s="2" t="s">
        <v>5</v>
      </c>
      <c r="G49" s="2" t="s">
        <v>6</v>
      </c>
      <c r="H49" s="27" t="s">
        <v>178</v>
      </c>
      <c r="I49" s="27" t="s">
        <v>179</v>
      </c>
      <c r="J49" s="26" t="s">
        <v>180</v>
      </c>
      <c r="K49" s="26" t="s">
        <v>181</v>
      </c>
      <c r="L49" s="4" t="s">
        <v>11</v>
      </c>
      <c r="M49" s="4" t="s">
        <v>12</v>
      </c>
      <c r="N49" s="4" t="s">
        <v>13</v>
      </c>
      <c r="O49" s="4" t="s">
        <v>14</v>
      </c>
      <c r="P49" s="4" t="s">
        <v>15</v>
      </c>
    </row>
    <row r="50" spans="1:16" x14ac:dyDescent="0.3">
      <c r="A50" s="17"/>
      <c r="B50" s="6"/>
      <c r="C50" s="7"/>
      <c r="D50" s="7"/>
      <c r="E50" s="7"/>
      <c r="F50" s="36"/>
      <c r="G50" s="36"/>
      <c r="H50" s="28" t="s">
        <v>171</v>
      </c>
      <c r="I50" s="8" t="s">
        <v>16</v>
      </c>
      <c r="J50" s="28" t="s">
        <v>171</v>
      </c>
      <c r="K50" s="28" t="s">
        <v>171</v>
      </c>
      <c r="L50" s="28" t="s">
        <v>171</v>
      </c>
      <c r="M50" s="28" t="s">
        <v>171</v>
      </c>
      <c r="N50" s="28" t="s">
        <v>171</v>
      </c>
      <c r="O50" s="28" t="s">
        <v>171</v>
      </c>
      <c r="P50" s="28" t="s">
        <v>171</v>
      </c>
    </row>
    <row r="51" spans="1:16" ht="302.39999999999998" x14ac:dyDescent="0.3">
      <c r="A51" s="17"/>
      <c r="B51" s="6">
        <v>1</v>
      </c>
      <c r="C51" s="7" t="s">
        <v>240</v>
      </c>
      <c r="D51" s="7" t="s">
        <v>241</v>
      </c>
      <c r="E51" s="7" t="s">
        <v>242</v>
      </c>
      <c r="F51" s="7" t="b">
        <v>1</v>
      </c>
      <c r="G51" s="36"/>
      <c r="H51" s="17"/>
      <c r="I51" s="25" t="s">
        <v>243</v>
      </c>
      <c r="J51" s="17"/>
      <c r="K51" s="17"/>
      <c r="L51" s="17"/>
      <c r="M51" s="17"/>
      <c r="N51" s="17"/>
      <c r="O51" s="17"/>
      <c r="P51" s="17"/>
    </row>
    <row r="52" spans="1:16" ht="244.8" x14ac:dyDescent="0.3">
      <c r="A52" s="17"/>
      <c r="B52" s="6">
        <v>2</v>
      </c>
      <c r="C52" s="7" t="s">
        <v>244</v>
      </c>
      <c r="D52" s="7" t="s">
        <v>245</v>
      </c>
      <c r="E52" s="7" t="s">
        <v>246</v>
      </c>
      <c r="F52" s="7" t="b">
        <v>1</v>
      </c>
      <c r="G52" s="36"/>
      <c r="H52" s="17"/>
      <c r="I52" s="25" t="s">
        <v>247</v>
      </c>
      <c r="J52" s="17"/>
      <c r="K52" s="17"/>
      <c r="L52" s="17"/>
      <c r="M52" s="17"/>
      <c r="N52" s="17"/>
      <c r="O52" s="17"/>
      <c r="P52" s="17"/>
    </row>
    <row r="53" spans="1:16" ht="259.2" x14ac:dyDescent="0.3">
      <c r="A53" s="17"/>
      <c r="B53" s="6">
        <v>3</v>
      </c>
      <c r="C53" s="7" t="s">
        <v>31</v>
      </c>
      <c r="D53" s="7" t="s">
        <v>183</v>
      </c>
      <c r="E53" s="7" t="s">
        <v>248</v>
      </c>
      <c r="F53" s="7" t="b">
        <v>1</v>
      </c>
      <c r="G53" s="36"/>
      <c r="H53" s="17"/>
      <c r="I53" s="25" t="s">
        <v>185</v>
      </c>
      <c r="J53" s="17"/>
      <c r="K53" s="17"/>
      <c r="L53" s="17"/>
      <c r="M53" s="17"/>
      <c r="N53" s="17"/>
      <c r="O53" s="17"/>
      <c r="P53" s="17"/>
    </row>
    <row r="54" spans="1:16" ht="201.6" x14ac:dyDescent="0.3">
      <c r="A54" s="17"/>
      <c r="B54" s="6">
        <v>4</v>
      </c>
      <c r="C54" s="7" t="s">
        <v>249</v>
      </c>
      <c r="D54" s="7" t="s">
        <v>250</v>
      </c>
      <c r="E54" s="7" t="s">
        <v>251</v>
      </c>
      <c r="F54" s="7" t="b">
        <v>1</v>
      </c>
      <c r="G54" s="36"/>
      <c r="H54" s="17"/>
      <c r="I54" s="16" t="s">
        <v>192</v>
      </c>
      <c r="J54" s="17"/>
      <c r="K54" s="17"/>
      <c r="L54" s="17"/>
      <c r="M54" s="17"/>
      <c r="N54" s="17"/>
      <c r="O54" s="17"/>
      <c r="P54" s="17"/>
    </row>
    <row r="55" spans="1:16" ht="345.6" x14ac:dyDescent="0.3">
      <c r="A55" s="17"/>
      <c r="B55" s="6">
        <v>5</v>
      </c>
      <c r="C55" s="7" t="s">
        <v>252</v>
      </c>
      <c r="D55" s="7" t="s">
        <v>253</v>
      </c>
      <c r="E55" s="7" t="s">
        <v>254</v>
      </c>
      <c r="F55" s="7" t="b">
        <v>1</v>
      </c>
      <c r="G55" s="36"/>
      <c r="H55" s="17"/>
      <c r="I55" s="7" t="s">
        <v>255</v>
      </c>
      <c r="J55" s="17"/>
      <c r="K55" s="17"/>
      <c r="L55" s="17"/>
      <c r="M55" s="17"/>
      <c r="N55" s="17"/>
      <c r="O55" s="17"/>
      <c r="P55" s="17"/>
    </row>
    <row r="56" spans="1:16" ht="129.6" x14ac:dyDescent="0.3">
      <c r="A56" s="17"/>
      <c r="B56" s="6">
        <v>6</v>
      </c>
      <c r="C56" s="7" t="s">
        <v>256</v>
      </c>
      <c r="D56" s="7" t="s">
        <v>257</v>
      </c>
      <c r="E56" s="7" t="s">
        <v>258</v>
      </c>
      <c r="F56" s="7" t="b">
        <v>1</v>
      </c>
      <c r="G56" s="36"/>
      <c r="H56" s="17"/>
      <c r="I56" s="7" t="s">
        <v>259</v>
      </c>
      <c r="J56" s="17"/>
      <c r="K56" s="17"/>
      <c r="L56" s="17"/>
      <c r="M56" s="17"/>
      <c r="N56" s="17"/>
      <c r="O56" s="17"/>
      <c r="P56" s="17"/>
    </row>
    <row r="57" spans="1:16" ht="129.6" x14ac:dyDescent="0.3">
      <c r="A57" s="17"/>
      <c r="B57" s="6">
        <v>7</v>
      </c>
      <c r="C57" s="7" t="s">
        <v>260</v>
      </c>
      <c r="D57" s="7" t="s">
        <v>257</v>
      </c>
      <c r="E57" s="7" t="s">
        <v>258</v>
      </c>
      <c r="F57" s="7" t="b">
        <v>1</v>
      </c>
      <c r="G57" s="36"/>
      <c r="H57" s="17"/>
      <c r="I57" s="7" t="s">
        <v>259</v>
      </c>
      <c r="J57" s="17"/>
      <c r="K57" s="17"/>
      <c r="L57" s="17"/>
      <c r="M57" s="17"/>
      <c r="N57" s="17"/>
      <c r="O57" s="17"/>
      <c r="P57" s="17"/>
    </row>
    <row r="58" spans="1:16" ht="129.6" x14ac:dyDescent="0.3">
      <c r="A58" s="17"/>
      <c r="B58" s="6">
        <v>8</v>
      </c>
      <c r="C58" s="7" t="s">
        <v>261</v>
      </c>
      <c r="D58" s="7" t="s">
        <v>257</v>
      </c>
      <c r="E58" s="7" t="s">
        <v>258</v>
      </c>
      <c r="F58" s="7" t="b">
        <v>1</v>
      </c>
      <c r="G58" s="36"/>
      <c r="H58" s="17"/>
      <c r="I58" s="7" t="s">
        <v>259</v>
      </c>
      <c r="J58" s="17"/>
      <c r="K58" s="17"/>
      <c r="L58" s="17"/>
      <c r="M58" s="17"/>
      <c r="N58" s="17"/>
      <c r="O58" s="17"/>
      <c r="P58" s="17"/>
    </row>
    <row r="59" spans="1:16" ht="129.6" x14ac:dyDescent="0.3">
      <c r="A59" s="17"/>
      <c r="B59" s="6">
        <v>9</v>
      </c>
      <c r="C59" s="7" t="s">
        <v>262</v>
      </c>
      <c r="D59" s="7" t="s">
        <v>257</v>
      </c>
      <c r="E59" s="7" t="s">
        <v>258</v>
      </c>
      <c r="F59" s="7" t="b">
        <v>1</v>
      </c>
      <c r="G59" s="36"/>
      <c r="H59" s="17"/>
      <c r="I59" s="7" t="s">
        <v>263</v>
      </c>
      <c r="J59" s="17"/>
      <c r="K59" s="17"/>
      <c r="L59" s="17"/>
      <c r="M59" s="17"/>
      <c r="N59" s="17"/>
      <c r="O59" s="17"/>
      <c r="P59" s="17"/>
    </row>
    <row r="60" spans="1:16" ht="129.6" x14ac:dyDescent="0.3">
      <c r="A60" s="17"/>
      <c r="B60" s="6">
        <v>10</v>
      </c>
      <c r="C60" s="7" t="s">
        <v>264</v>
      </c>
      <c r="D60" s="7" t="s">
        <v>257</v>
      </c>
      <c r="E60" s="7" t="s">
        <v>258</v>
      </c>
      <c r="F60" s="7" t="b">
        <v>1</v>
      </c>
      <c r="G60" s="36"/>
      <c r="H60" s="17"/>
      <c r="I60" s="7" t="s">
        <v>259</v>
      </c>
      <c r="J60" s="17"/>
      <c r="K60" s="17"/>
      <c r="L60" s="17"/>
      <c r="M60" s="17"/>
      <c r="N60" s="17"/>
      <c r="O60" s="17"/>
      <c r="P60" s="17"/>
    </row>
    <row r="61" spans="1:16" ht="129.6" x14ac:dyDescent="0.3">
      <c r="A61" s="17"/>
      <c r="B61" s="6">
        <v>11</v>
      </c>
      <c r="C61" s="7" t="s">
        <v>265</v>
      </c>
      <c r="D61" s="7" t="s">
        <v>257</v>
      </c>
      <c r="E61" s="7" t="s">
        <v>258</v>
      </c>
      <c r="F61" s="7" t="b">
        <v>1</v>
      </c>
      <c r="G61" s="37"/>
      <c r="H61" s="17"/>
      <c r="I61" s="7" t="s">
        <v>259</v>
      </c>
      <c r="J61" s="17"/>
      <c r="K61" s="17"/>
      <c r="L61" s="17"/>
      <c r="M61" s="17"/>
      <c r="N61" s="17"/>
      <c r="O61" s="17"/>
      <c r="P61" s="17"/>
    </row>
    <row r="62" spans="1:16" ht="129.6" x14ac:dyDescent="0.3">
      <c r="A62" s="17"/>
      <c r="B62" s="6">
        <v>12</v>
      </c>
      <c r="C62" s="7" t="s">
        <v>266</v>
      </c>
      <c r="D62" s="7" t="s">
        <v>257</v>
      </c>
      <c r="E62" s="7" t="s">
        <v>258</v>
      </c>
      <c r="F62" s="7" t="b">
        <v>1</v>
      </c>
      <c r="G62" s="36"/>
      <c r="H62" s="17"/>
      <c r="I62" s="25" t="s">
        <v>259</v>
      </c>
      <c r="J62" s="17"/>
      <c r="K62" s="17"/>
      <c r="L62" s="17"/>
      <c r="M62" s="17"/>
      <c r="N62" s="17"/>
      <c r="O62" s="17"/>
      <c r="P62" s="17"/>
    </row>
    <row r="63" spans="1:16" ht="129.6" x14ac:dyDescent="0.3">
      <c r="A63" s="17"/>
      <c r="B63" s="6">
        <v>13</v>
      </c>
      <c r="C63" s="7" t="s">
        <v>267</v>
      </c>
      <c r="D63" s="7" t="s">
        <v>257</v>
      </c>
      <c r="E63" s="7" t="s">
        <v>258</v>
      </c>
      <c r="F63" s="7" t="b">
        <v>1</v>
      </c>
      <c r="G63" s="36"/>
      <c r="H63" s="17"/>
      <c r="I63" s="7" t="s">
        <v>259</v>
      </c>
      <c r="J63" s="17"/>
      <c r="K63" s="17"/>
      <c r="L63" s="17"/>
      <c r="M63" s="17"/>
      <c r="N63" s="17"/>
      <c r="O63" s="17"/>
      <c r="P63" s="17"/>
    </row>
    <row r="64" spans="1:16" ht="129.6" x14ac:dyDescent="0.3">
      <c r="A64" s="17"/>
      <c r="B64" s="6">
        <v>14</v>
      </c>
      <c r="C64" s="7" t="s">
        <v>268</v>
      </c>
      <c r="D64" s="7" t="s">
        <v>257</v>
      </c>
      <c r="E64" s="7" t="s">
        <v>258</v>
      </c>
      <c r="F64" s="7" t="b">
        <v>1</v>
      </c>
      <c r="G64" s="36"/>
      <c r="H64" s="17"/>
      <c r="I64" s="7" t="s">
        <v>259</v>
      </c>
      <c r="J64" s="17"/>
      <c r="K64" s="17"/>
      <c r="L64" s="17"/>
      <c r="M64" s="17"/>
      <c r="N64" s="17"/>
      <c r="O64" s="17"/>
      <c r="P64" s="17"/>
    </row>
    <row r="65" spans="1:16" ht="129.6" x14ac:dyDescent="0.3">
      <c r="A65" s="17"/>
      <c r="B65" s="6">
        <v>15</v>
      </c>
      <c r="C65" s="7" t="s">
        <v>269</v>
      </c>
      <c r="D65" s="7" t="s">
        <v>257</v>
      </c>
      <c r="E65" s="7" t="s">
        <v>258</v>
      </c>
      <c r="F65" s="7" t="b">
        <v>1</v>
      </c>
      <c r="G65" s="36"/>
      <c r="H65" s="17"/>
      <c r="I65" s="7" t="s">
        <v>270</v>
      </c>
      <c r="J65" s="17"/>
      <c r="K65" s="17"/>
      <c r="L65" s="17"/>
      <c r="M65" s="17"/>
      <c r="N65" s="17"/>
      <c r="O65" s="17"/>
      <c r="P65" s="17"/>
    </row>
    <row r="66" spans="1:16" ht="259.2" x14ac:dyDescent="0.3">
      <c r="A66" s="17"/>
      <c r="B66" s="6">
        <v>16</v>
      </c>
      <c r="C66" s="38" t="s">
        <v>271</v>
      </c>
      <c r="D66" s="38" t="s">
        <v>272</v>
      </c>
      <c r="E66" s="38" t="s">
        <v>273</v>
      </c>
      <c r="F66" s="39" t="b">
        <v>0</v>
      </c>
      <c r="G66" s="36"/>
      <c r="H66" s="17"/>
      <c r="I66" s="25" t="s">
        <v>233</v>
      </c>
      <c r="J66" s="17"/>
      <c r="K66" s="17"/>
      <c r="L66" s="17"/>
      <c r="M66" s="17"/>
      <c r="N66" s="17"/>
      <c r="O66" s="17"/>
      <c r="P66" s="17"/>
    </row>
    <row r="67" spans="1:16" ht="201.6" x14ac:dyDescent="0.3">
      <c r="A67" s="17"/>
      <c r="B67" s="6">
        <v>17</v>
      </c>
      <c r="C67" s="7" t="s">
        <v>274</v>
      </c>
      <c r="D67" s="7" t="s">
        <v>272</v>
      </c>
      <c r="E67" s="7" t="s">
        <v>275</v>
      </c>
      <c r="F67" s="7" t="b">
        <v>1</v>
      </c>
      <c r="G67" s="36"/>
      <c r="H67" s="17"/>
      <c r="I67" s="7" t="s">
        <v>276</v>
      </c>
      <c r="J67" s="17"/>
      <c r="K67" s="17"/>
      <c r="L67" s="17"/>
      <c r="M67" s="17"/>
      <c r="N67" s="17"/>
      <c r="O67" s="17"/>
      <c r="P67" s="17"/>
    </row>
    <row r="68" spans="1:16" ht="201.6" x14ac:dyDescent="0.3">
      <c r="A68" s="17"/>
      <c r="B68" s="6">
        <v>18</v>
      </c>
      <c r="C68" s="7" t="s">
        <v>277</v>
      </c>
      <c r="D68" s="7" t="s">
        <v>272</v>
      </c>
      <c r="E68" s="7" t="s">
        <v>275</v>
      </c>
      <c r="F68" s="7" t="b">
        <v>1</v>
      </c>
      <c r="G68" s="36"/>
      <c r="H68" s="17"/>
      <c r="I68" s="7" t="s">
        <v>73</v>
      </c>
      <c r="J68" s="17"/>
      <c r="K68" s="17"/>
      <c r="L68" s="17"/>
      <c r="M68" s="17"/>
      <c r="N68" s="17"/>
      <c r="O68" s="17"/>
      <c r="P68" s="17"/>
    </row>
    <row r="69" spans="1:16" ht="201.6" x14ac:dyDescent="0.3">
      <c r="A69" s="17"/>
      <c r="B69" s="6">
        <v>19</v>
      </c>
      <c r="C69" s="7" t="s">
        <v>278</v>
      </c>
      <c r="D69" s="7" t="s">
        <v>272</v>
      </c>
      <c r="E69" s="7" t="s">
        <v>275</v>
      </c>
      <c r="F69" s="7" t="b">
        <v>1</v>
      </c>
      <c r="G69" s="36"/>
      <c r="H69" s="17"/>
      <c r="I69" s="7" t="s">
        <v>73</v>
      </c>
      <c r="J69" s="17"/>
      <c r="K69" s="17"/>
      <c r="L69" s="17"/>
      <c r="M69" s="17"/>
      <c r="N69" s="17"/>
      <c r="O69" s="17"/>
      <c r="P69" s="17"/>
    </row>
    <row r="70" spans="1:16" ht="201.6" x14ac:dyDescent="0.3">
      <c r="A70" s="17"/>
      <c r="B70" s="6">
        <v>20</v>
      </c>
      <c r="C70" s="7" t="s">
        <v>279</v>
      </c>
      <c r="D70" s="7" t="s">
        <v>272</v>
      </c>
      <c r="E70" s="7" t="s">
        <v>275</v>
      </c>
      <c r="F70" s="7" t="b">
        <v>1</v>
      </c>
      <c r="G70" s="36"/>
      <c r="H70" s="17"/>
      <c r="I70" s="7" t="s">
        <v>73</v>
      </c>
      <c r="J70" s="17"/>
      <c r="K70" s="17"/>
      <c r="L70" s="17"/>
      <c r="M70" s="17"/>
      <c r="N70" s="17"/>
      <c r="O70" s="17"/>
      <c r="P70" s="17"/>
    </row>
    <row r="71" spans="1:16" ht="201.6" x14ac:dyDescent="0.3">
      <c r="A71" s="17"/>
      <c r="B71" s="6">
        <v>21</v>
      </c>
      <c r="C71" s="7" t="s">
        <v>280</v>
      </c>
      <c r="D71" s="7" t="s">
        <v>272</v>
      </c>
      <c r="E71" s="7" t="s">
        <v>275</v>
      </c>
      <c r="F71" s="7" t="b">
        <v>1</v>
      </c>
      <c r="G71" s="36"/>
      <c r="H71" s="17"/>
      <c r="I71" s="7" t="s">
        <v>73</v>
      </c>
      <c r="J71" s="17"/>
      <c r="K71" s="17"/>
      <c r="L71" s="17"/>
      <c r="M71" s="17"/>
      <c r="N71" s="17"/>
      <c r="O71" s="17"/>
      <c r="P71" s="17"/>
    </row>
    <row r="72" spans="1:16" ht="201.6" x14ac:dyDescent="0.3">
      <c r="A72" s="17"/>
      <c r="B72" s="6">
        <v>22</v>
      </c>
      <c r="C72" s="7" t="s">
        <v>281</v>
      </c>
      <c r="D72" s="7" t="s">
        <v>272</v>
      </c>
      <c r="E72" s="7" t="s">
        <v>275</v>
      </c>
      <c r="F72" s="7" t="b">
        <v>1</v>
      </c>
      <c r="G72" s="36"/>
      <c r="H72" s="17"/>
      <c r="I72" s="7" t="s">
        <v>73</v>
      </c>
      <c r="J72" s="17"/>
      <c r="K72" s="17"/>
      <c r="L72" s="17"/>
      <c r="M72" s="17"/>
      <c r="N72" s="17"/>
      <c r="O72" s="17"/>
      <c r="P72" s="17"/>
    </row>
    <row r="73" spans="1:16" ht="201.6" x14ac:dyDescent="0.3">
      <c r="A73" s="17"/>
      <c r="B73" s="6">
        <v>23</v>
      </c>
      <c r="C73" s="7" t="s">
        <v>282</v>
      </c>
      <c r="D73" s="7" t="s">
        <v>272</v>
      </c>
      <c r="E73" s="7" t="s">
        <v>275</v>
      </c>
      <c r="F73" s="7" t="b">
        <v>1</v>
      </c>
      <c r="G73" s="36"/>
      <c r="H73" s="17"/>
      <c r="I73" s="7" t="s">
        <v>73</v>
      </c>
      <c r="J73" s="17"/>
      <c r="K73" s="17"/>
      <c r="L73" s="17"/>
      <c r="M73" s="17"/>
      <c r="N73" s="17"/>
      <c r="O73" s="17"/>
      <c r="P73" s="17"/>
    </row>
    <row r="74" spans="1:16" ht="201.6" x14ac:dyDescent="0.3">
      <c r="A74" s="17"/>
      <c r="B74" s="6">
        <v>24</v>
      </c>
      <c r="C74" s="7" t="s">
        <v>283</v>
      </c>
      <c r="D74" s="7" t="s">
        <v>272</v>
      </c>
      <c r="E74" s="7" t="s">
        <v>275</v>
      </c>
      <c r="F74" s="7" t="b">
        <v>1</v>
      </c>
      <c r="G74" s="36"/>
      <c r="H74" s="17"/>
      <c r="I74" s="7" t="s">
        <v>284</v>
      </c>
      <c r="J74" s="17"/>
      <c r="K74" s="17"/>
      <c r="L74" s="17"/>
      <c r="M74" s="17"/>
      <c r="N74" s="17"/>
      <c r="O74" s="17"/>
      <c r="P74" s="17"/>
    </row>
    <row r="75" spans="1:16" ht="244.8" x14ac:dyDescent="0.3">
      <c r="A75" s="17"/>
      <c r="B75" s="6">
        <v>25</v>
      </c>
      <c r="C75" s="7" t="s">
        <v>285</v>
      </c>
      <c r="D75" s="7" t="s">
        <v>272</v>
      </c>
      <c r="E75" s="7" t="s">
        <v>275</v>
      </c>
      <c r="F75" s="7" t="b">
        <v>1</v>
      </c>
      <c r="G75" s="36"/>
      <c r="H75" s="17"/>
      <c r="I75" s="7" t="s">
        <v>73</v>
      </c>
      <c r="J75" s="17"/>
      <c r="K75" s="17"/>
      <c r="L75" s="17"/>
      <c r="M75" s="17"/>
      <c r="N75" s="17"/>
      <c r="O75" s="17"/>
      <c r="P75" s="17"/>
    </row>
    <row r="76" spans="1:16" ht="201.6" x14ac:dyDescent="0.3">
      <c r="A76" s="17"/>
      <c r="B76" s="6">
        <v>26</v>
      </c>
      <c r="C76" s="7" t="s">
        <v>286</v>
      </c>
      <c r="D76" s="7" t="s">
        <v>272</v>
      </c>
      <c r="E76" s="7" t="s">
        <v>275</v>
      </c>
      <c r="F76" s="7" t="b">
        <v>1</v>
      </c>
      <c r="G76" s="36"/>
      <c r="H76" s="17"/>
      <c r="I76" s="7" t="s">
        <v>73</v>
      </c>
      <c r="J76" s="17"/>
      <c r="K76" s="17"/>
      <c r="L76" s="17"/>
      <c r="M76" s="17"/>
      <c r="N76" s="17"/>
      <c r="O76" s="17"/>
      <c r="P76" s="17"/>
    </row>
    <row r="77" spans="1:16" ht="230.4" x14ac:dyDescent="0.3">
      <c r="A77" s="17"/>
      <c r="B77" s="6">
        <v>27</v>
      </c>
      <c r="C77" s="7" t="s">
        <v>287</v>
      </c>
      <c r="D77" s="7" t="s">
        <v>272</v>
      </c>
      <c r="E77" s="7" t="s">
        <v>275</v>
      </c>
      <c r="F77" s="7" t="b">
        <v>1</v>
      </c>
      <c r="G77" s="36"/>
      <c r="H77" s="17"/>
      <c r="I77" s="7" t="s">
        <v>73</v>
      </c>
      <c r="J77" s="17"/>
      <c r="K77" s="17"/>
      <c r="L77" s="17"/>
      <c r="M77" s="17"/>
      <c r="N77" s="17"/>
      <c r="O77" s="17"/>
      <c r="P77" s="17"/>
    </row>
    <row r="78" spans="1:16" ht="201.6" x14ac:dyDescent="0.3">
      <c r="A78" s="17"/>
      <c r="B78" s="6">
        <v>28</v>
      </c>
      <c r="C78" s="7" t="s">
        <v>288</v>
      </c>
      <c r="D78" s="7" t="s">
        <v>272</v>
      </c>
      <c r="E78" s="7" t="s">
        <v>275</v>
      </c>
      <c r="F78" s="7" t="b">
        <v>1</v>
      </c>
      <c r="G78" s="36"/>
      <c r="H78" s="17"/>
      <c r="I78" s="7" t="s">
        <v>73</v>
      </c>
      <c r="J78" s="17"/>
      <c r="K78" s="17"/>
      <c r="L78" s="17"/>
      <c r="M78" s="17"/>
      <c r="N78" s="17"/>
      <c r="O78" s="17"/>
      <c r="P78" s="17"/>
    </row>
    <row r="79" spans="1:16" ht="201.6" x14ac:dyDescent="0.3">
      <c r="A79" s="17"/>
      <c r="B79" s="6">
        <v>29</v>
      </c>
      <c r="C79" s="7" t="s">
        <v>289</v>
      </c>
      <c r="D79" s="7" t="s">
        <v>272</v>
      </c>
      <c r="E79" s="7" t="s">
        <v>275</v>
      </c>
      <c r="F79" s="7" t="b">
        <v>1</v>
      </c>
      <c r="G79" s="36"/>
      <c r="H79" s="17"/>
      <c r="I79" s="7" t="s">
        <v>73</v>
      </c>
      <c r="J79" s="17"/>
      <c r="K79" s="17"/>
      <c r="L79" s="17"/>
      <c r="M79" s="17"/>
      <c r="N79" s="17"/>
      <c r="O79" s="17"/>
      <c r="P79" s="17"/>
    </row>
    <row r="80" spans="1:16" ht="201.6" x14ac:dyDescent="0.3">
      <c r="A80" s="17"/>
      <c r="B80" s="6">
        <v>30</v>
      </c>
      <c r="C80" s="7" t="s">
        <v>290</v>
      </c>
      <c r="D80" s="7" t="s">
        <v>272</v>
      </c>
      <c r="E80" s="7" t="s">
        <v>275</v>
      </c>
      <c r="F80" s="7" t="b">
        <v>1</v>
      </c>
      <c r="G80" s="36"/>
      <c r="H80" s="17"/>
      <c r="I80" s="7" t="s">
        <v>73</v>
      </c>
      <c r="J80" s="17"/>
      <c r="K80" s="17"/>
      <c r="L80" s="17"/>
      <c r="M80" s="17"/>
      <c r="N80" s="17"/>
      <c r="O80" s="17"/>
      <c r="P80" s="17"/>
    </row>
    <row r="81" spans="1:16" ht="201.6" x14ac:dyDescent="0.3">
      <c r="A81" s="17"/>
      <c r="B81" s="6">
        <v>31</v>
      </c>
      <c r="C81" s="7" t="s">
        <v>291</v>
      </c>
      <c r="D81" s="7" t="s">
        <v>272</v>
      </c>
      <c r="E81" s="7" t="s">
        <v>275</v>
      </c>
      <c r="F81" s="7" t="b">
        <v>1</v>
      </c>
      <c r="G81" s="36"/>
      <c r="H81" s="17"/>
      <c r="I81" s="7" t="s">
        <v>73</v>
      </c>
      <c r="J81" s="17"/>
      <c r="K81" s="17"/>
      <c r="L81" s="17"/>
      <c r="M81" s="17"/>
      <c r="N81" s="17"/>
      <c r="O81" s="17"/>
      <c r="P81" s="17"/>
    </row>
    <row r="82" spans="1:16" ht="201.6" x14ac:dyDescent="0.3">
      <c r="A82" s="17"/>
      <c r="B82" s="6">
        <v>32</v>
      </c>
      <c r="C82" s="7" t="s">
        <v>292</v>
      </c>
      <c r="D82" s="7" t="s">
        <v>272</v>
      </c>
      <c r="E82" s="7" t="s">
        <v>275</v>
      </c>
      <c r="F82" s="7" t="b">
        <v>1</v>
      </c>
      <c r="G82" s="36"/>
      <c r="H82" s="17"/>
      <c r="I82" s="7" t="s">
        <v>73</v>
      </c>
      <c r="J82" s="17"/>
      <c r="K82" s="17"/>
      <c r="L82" s="17"/>
      <c r="M82" s="17"/>
      <c r="N82" s="17"/>
      <c r="O82" s="17"/>
      <c r="P82" s="17"/>
    </row>
    <row r="83" spans="1:16" ht="201.6" x14ac:dyDescent="0.3">
      <c r="A83" s="17"/>
      <c r="B83" s="6">
        <v>33</v>
      </c>
      <c r="C83" s="7" t="s">
        <v>293</v>
      </c>
      <c r="D83" s="7" t="s">
        <v>272</v>
      </c>
      <c r="E83" s="7" t="s">
        <v>275</v>
      </c>
      <c r="F83" s="7" t="b">
        <v>1</v>
      </c>
      <c r="G83" s="36"/>
      <c r="H83" s="17"/>
      <c r="I83" s="7" t="s">
        <v>294</v>
      </c>
      <c r="J83" s="17"/>
      <c r="K83" s="17"/>
      <c r="L83" s="17"/>
      <c r="M83" s="17"/>
      <c r="N83" s="17"/>
      <c r="O83" s="17"/>
      <c r="P83" s="17"/>
    </row>
    <row r="84" spans="1:16" ht="201.6" x14ac:dyDescent="0.3">
      <c r="A84" s="17"/>
      <c r="B84" s="6">
        <v>34</v>
      </c>
      <c r="C84" s="7" t="s">
        <v>295</v>
      </c>
      <c r="D84" s="7" t="s">
        <v>272</v>
      </c>
      <c r="E84" s="7" t="s">
        <v>296</v>
      </c>
      <c r="F84" s="7" t="b">
        <v>1</v>
      </c>
      <c r="G84" s="36"/>
      <c r="H84" s="17"/>
      <c r="I84" s="7" t="s">
        <v>199</v>
      </c>
      <c r="J84" s="17"/>
      <c r="K84" s="17"/>
      <c r="L84" s="17"/>
      <c r="M84" s="17"/>
      <c r="N84" s="17"/>
      <c r="O84" s="17"/>
      <c r="P84" s="17"/>
    </row>
    <row r="85" spans="1:16" ht="201.6" x14ac:dyDescent="0.3">
      <c r="A85" s="17"/>
      <c r="B85" s="6">
        <v>35</v>
      </c>
      <c r="C85" s="7" t="s">
        <v>297</v>
      </c>
      <c r="D85" s="7" t="s">
        <v>272</v>
      </c>
      <c r="E85" s="7" t="s">
        <v>298</v>
      </c>
      <c r="F85" s="7" t="b">
        <v>1</v>
      </c>
      <c r="G85" s="36"/>
      <c r="H85" s="17"/>
      <c r="I85" s="7" t="s">
        <v>299</v>
      </c>
      <c r="J85" s="17"/>
      <c r="K85" s="17"/>
      <c r="L85" s="17"/>
      <c r="M85" s="17"/>
      <c r="N85" s="17"/>
      <c r="O85" s="17"/>
      <c r="P85" s="17"/>
    </row>
    <row r="86" spans="1:16" ht="244.8" x14ac:dyDescent="0.3">
      <c r="A86" s="17"/>
      <c r="B86" s="6">
        <v>36</v>
      </c>
      <c r="C86" s="7" t="s">
        <v>300</v>
      </c>
      <c r="D86" s="7" t="s">
        <v>228</v>
      </c>
      <c r="E86" s="7" t="s">
        <v>301</v>
      </c>
      <c r="F86" s="7" t="b">
        <v>1</v>
      </c>
      <c r="G86" s="36"/>
      <c r="H86" s="17"/>
      <c r="I86" s="23" t="s">
        <v>163</v>
      </c>
      <c r="J86" s="17"/>
      <c r="K86" s="17"/>
      <c r="L86" s="17"/>
      <c r="M86" s="17"/>
      <c r="N86" s="17"/>
      <c r="O86" s="17"/>
      <c r="P86" s="17"/>
    </row>
    <row r="87" spans="1:16" ht="244.8" x14ac:dyDescent="0.3">
      <c r="A87" s="17"/>
      <c r="B87" s="6">
        <v>37</v>
      </c>
      <c r="C87" s="7" t="s">
        <v>302</v>
      </c>
      <c r="D87" s="7" t="s">
        <v>228</v>
      </c>
      <c r="E87" s="7" t="s">
        <v>301</v>
      </c>
      <c r="F87" s="7" t="b">
        <v>1</v>
      </c>
      <c r="G87" s="36"/>
      <c r="H87" s="17"/>
      <c r="I87" s="23" t="s">
        <v>163</v>
      </c>
      <c r="J87" s="17"/>
      <c r="K87" s="17"/>
      <c r="L87" s="17"/>
      <c r="M87" s="17"/>
      <c r="N87" s="17"/>
      <c r="O87" s="17"/>
      <c r="P87" s="17"/>
    </row>
    <row r="88" spans="1:16" ht="144" x14ac:dyDescent="0.3">
      <c r="A88" s="17"/>
      <c r="B88" s="6">
        <v>38</v>
      </c>
      <c r="C88" s="33" t="s">
        <v>303</v>
      </c>
      <c r="D88" s="33" t="s">
        <v>235</v>
      </c>
      <c r="E88" s="34" t="s">
        <v>304</v>
      </c>
      <c r="F88" s="33" t="b">
        <v>0</v>
      </c>
      <c r="G88" s="40" t="s">
        <v>237</v>
      </c>
      <c r="H88" s="17"/>
      <c r="I88" s="7" t="s">
        <v>238</v>
      </c>
      <c r="J88" s="17"/>
      <c r="K88" s="17"/>
      <c r="L88" s="17"/>
      <c r="M88" s="17"/>
      <c r="N88" s="17"/>
      <c r="O88" s="17"/>
      <c r="P88" s="17"/>
    </row>
    <row r="89" spans="1:16" ht="158.4" x14ac:dyDescent="0.3">
      <c r="A89" s="17"/>
      <c r="B89" s="6">
        <v>39</v>
      </c>
      <c r="C89" s="33" t="s">
        <v>305</v>
      </c>
      <c r="D89" s="33" t="s">
        <v>235</v>
      </c>
      <c r="E89" s="34" t="s">
        <v>236</v>
      </c>
      <c r="F89" s="33" t="b">
        <v>0</v>
      </c>
      <c r="G89" s="40" t="s">
        <v>237</v>
      </c>
      <c r="H89" s="17"/>
      <c r="I89" s="7" t="s">
        <v>238</v>
      </c>
      <c r="J89" s="17"/>
      <c r="K89" s="17"/>
      <c r="L89" s="17"/>
      <c r="M89" s="17"/>
      <c r="N89" s="17"/>
      <c r="O89" s="17"/>
      <c r="P89" s="17"/>
    </row>
    <row r="90" spans="1:16" x14ac:dyDescent="0.3">
      <c r="A90" s="1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3">
      <c r="A91" s="17"/>
      <c r="B91" s="6"/>
      <c r="C91" s="7" t="s">
        <v>172</v>
      </c>
      <c r="D91" s="7"/>
      <c r="E91" s="7"/>
      <c r="F91" s="7"/>
      <c r="G91" s="7"/>
      <c r="H91" s="7"/>
      <c r="I91" s="7">
        <v>9</v>
      </c>
      <c r="J91" s="7"/>
      <c r="K91" s="7"/>
      <c r="L91" s="7"/>
      <c r="M91" s="7"/>
      <c r="N91" s="7"/>
      <c r="O91" s="7"/>
      <c r="P91" s="7"/>
    </row>
    <row r="92" spans="1:16" ht="86.4" x14ac:dyDescent="0.3">
      <c r="A92" s="17"/>
      <c r="B92" s="6"/>
      <c r="C92" s="7" t="s">
        <v>173</v>
      </c>
      <c r="D92" s="7"/>
      <c r="E92" s="7"/>
      <c r="F92" s="7"/>
      <c r="G92" s="7"/>
      <c r="H92" s="7"/>
      <c r="I92" s="7">
        <v>1</v>
      </c>
      <c r="J92" s="7"/>
      <c r="K92" s="7"/>
      <c r="L92" s="7"/>
      <c r="M92" s="7"/>
      <c r="N92" s="7"/>
      <c r="O92" s="7"/>
      <c r="P92" s="7"/>
    </row>
    <row r="93" spans="1:16" x14ac:dyDescent="0.3">
      <c r="A93" s="17"/>
      <c r="B93" s="6"/>
      <c r="C93" s="14" t="s">
        <v>174</v>
      </c>
      <c r="D93" s="7"/>
      <c r="E93" s="7"/>
      <c r="F93" s="7"/>
      <c r="G93" s="7"/>
      <c r="H93" s="7"/>
      <c r="I93" s="7">
        <v>8</v>
      </c>
      <c r="J93" s="7"/>
      <c r="K93" s="7"/>
      <c r="L93" s="7"/>
      <c r="M93" s="7"/>
      <c r="N93" s="7"/>
      <c r="O93" s="7"/>
      <c r="P93" s="7"/>
    </row>
    <row r="94" spans="1:16" ht="43.2" x14ac:dyDescent="0.3">
      <c r="A94" s="12" t="s">
        <v>306</v>
      </c>
      <c r="B94" s="26" t="s">
        <v>1</v>
      </c>
      <c r="C94" s="26" t="s">
        <v>176</v>
      </c>
      <c r="D94" s="26" t="s">
        <v>3</v>
      </c>
      <c r="E94" s="26" t="s">
        <v>4</v>
      </c>
      <c r="F94" s="2" t="s">
        <v>5</v>
      </c>
      <c r="G94" s="2" t="s">
        <v>6</v>
      </c>
      <c r="H94" s="27" t="s">
        <v>178</v>
      </c>
      <c r="I94" s="27" t="s">
        <v>180</v>
      </c>
      <c r="J94" s="26" t="s">
        <v>307</v>
      </c>
      <c r="K94" s="26" t="s">
        <v>181</v>
      </c>
      <c r="L94" s="4" t="s">
        <v>11</v>
      </c>
      <c r="M94" s="4" t="s">
        <v>12</v>
      </c>
      <c r="N94" s="4" t="s">
        <v>13</v>
      </c>
      <c r="O94" s="4" t="s">
        <v>14</v>
      </c>
      <c r="P94" s="4" t="s">
        <v>15</v>
      </c>
    </row>
    <row r="95" spans="1:16" ht="43.2" x14ac:dyDescent="0.3">
      <c r="A95" s="17"/>
      <c r="B95" s="6"/>
      <c r="C95" s="7"/>
      <c r="D95" s="7"/>
      <c r="E95" s="7"/>
      <c r="F95" s="7"/>
      <c r="G95" s="7"/>
      <c r="H95" s="8" t="s">
        <v>16</v>
      </c>
      <c r="I95" s="8" t="s">
        <v>308</v>
      </c>
      <c r="J95" s="8" t="s">
        <v>16</v>
      </c>
      <c r="K95" s="8" t="s">
        <v>16</v>
      </c>
      <c r="L95" s="10" t="s">
        <v>16</v>
      </c>
      <c r="M95" s="10" t="s">
        <v>16</v>
      </c>
      <c r="N95" s="11" t="s">
        <v>16</v>
      </c>
      <c r="O95" s="8" t="s">
        <v>16</v>
      </c>
      <c r="P95" s="8" t="s">
        <v>16</v>
      </c>
    </row>
    <row r="96" spans="1:16" ht="259.2" x14ac:dyDescent="0.3">
      <c r="A96" s="17"/>
      <c r="B96" s="6">
        <v>1</v>
      </c>
      <c r="C96" s="7" t="s">
        <v>309</v>
      </c>
      <c r="D96" s="7" t="s">
        <v>310</v>
      </c>
      <c r="E96" s="7" t="s">
        <v>311</v>
      </c>
      <c r="F96" s="7" t="b">
        <v>1</v>
      </c>
      <c r="G96" s="7"/>
      <c r="H96" s="7" t="s">
        <v>312</v>
      </c>
      <c r="I96" s="25" t="s">
        <v>313</v>
      </c>
      <c r="J96" s="7" t="s">
        <v>314</v>
      </c>
      <c r="K96" s="7" t="s">
        <v>312</v>
      </c>
      <c r="L96" s="14" t="s">
        <v>312</v>
      </c>
      <c r="M96" s="14" t="s">
        <v>312</v>
      </c>
      <c r="N96" s="7" t="s">
        <v>315</v>
      </c>
      <c r="O96" s="7" t="s">
        <v>315</v>
      </c>
      <c r="P96" s="7" t="s">
        <v>312</v>
      </c>
    </row>
    <row r="97" spans="1:16" ht="409.6" x14ac:dyDescent="0.3">
      <c r="A97" s="17"/>
      <c r="B97" s="6">
        <v>2</v>
      </c>
      <c r="C97" s="7" t="s">
        <v>316</v>
      </c>
      <c r="D97" s="7" t="s">
        <v>183</v>
      </c>
      <c r="E97" s="7" t="s">
        <v>317</v>
      </c>
      <c r="F97" s="7" t="b">
        <v>1</v>
      </c>
      <c r="G97" s="7"/>
      <c r="H97" s="7" t="s">
        <v>318</v>
      </c>
      <c r="I97" s="7" t="s">
        <v>319</v>
      </c>
      <c r="J97" s="7" t="s">
        <v>320</v>
      </c>
      <c r="K97" s="7" t="s">
        <v>321</v>
      </c>
      <c r="L97" s="14" t="s">
        <v>322</v>
      </c>
      <c r="M97" s="14" t="s">
        <v>323</v>
      </c>
      <c r="N97" s="7" t="s">
        <v>324</v>
      </c>
      <c r="O97" s="7" t="s">
        <v>321</v>
      </c>
      <c r="P97" s="7" t="s">
        <v>325</v>
      </c>
    </row>
    <row r="98" spans="1:16" ht="409.6" x14ac:dyDescent="0.3">
      <c r="A98" s="17"/>
      <c r="B98" s="6">
        <v>3</v>
      </c>
      <c r="C98" s="7" t="s">
        <v>326</v>
      </c>
      <c r="D98" s="7" t="s">
        <v>327</v>
      </c>
      <c r="E98" s="7" t="s">
        <v>328</v>
      </c>
      <c r="F98" s="7" t="b">
        <v>1</v>
      </c>
      <c r="G98" s="18"/>
      <c r="H98" s="18">
        <v>45818</v>
      </c>
      <c r="I98" s="41">
        <v>45889</v>
      </c>
      <c r="J98" s="41">
        <v>45875</v>
      </c>
      <c r="K98" s="18">
        <v>45922</v>
      </c>
      <c r="L98" s="14" t="s">
        <v>329</v>
      </c>
      <c r="M98" s="29" t="s">
        <v>330</v>
      </c>
      <c r="N98" s="7" t="s">
        <v>331</v>
      </c>
      <c r="O98" s="7" t="s">
        <v>332</v>
      </c>
      <c r="P98" s="7" t="s">
        <v>333</v>
      </c>
    </row>
    <row r="99" spans="1:16" ht="409.6" x14ac:dyDescent="0.3">
      <c r="A99" s="17"/>
      <c r="B99" s="6">
        <v>4</v>
      </c>
      <c r="C99" s="7" t="s">
        <v>334</v>
      </c>
      <c r="D99" s="7" t="s">
        <v>335</v>
      </c>
      <c r="E99" s="7" t="s">
        <v>336</v>
      </c>
      <c r="F99" s="7" t="b">
        <v>1</v>
      </c>
      <c r="G99" s="7"/>
      <c r="H99" s="7" t="s">
        <v>337</v>
      </c>
      <c r="I99" s="7" t="s">
        <v>338</v>
      </c>
      <c r="J99" s="7" t="s">
        <v>338</v>
      </c>
      <c r="K99" s="7" t="s">
        <v>338</v>
      </c>
      <c r="L99" s="14" t="s">
        <v>338</v>
      </c>
      <c r="M99" s="14" t="s">
        <v>338</v>
      </c>
      <c r="N99" s="7" t="s">
        <v>338</v>
      </c>
      <c r="O99" s="7" t="s">
        <v>338</v>
      </c>
      <c r="P99" s="7" t="s">
        <v>337</v>
      </c>
    </row>
    <row r="100" spans="1:16" ht="259.2" x14ac:dyDescent="0.3">
      <c r="A100" s="17"/>
      <c r="B100" s="6">
        <v>5</v>
      </c>
      <c r="C100" s="7" t="s">
        <v>339</v>
      </c>
      <c r="D100" s="7" t="s">
        <v>257</v>
      </c>
      <c r="E100" s="7" t="s">
        <v>340</v>
      </c>
      <c r="F100" s="7" t="b">
        <v>1</v>
      </c>
      <c r="G100" s="7"/>
      <c r="H100" s="25" t="s">
        <v>341</v>
      </c>
      <c r="I100" s="7" t="s">
        <v>313</v>
      </c>
      <c r="J100" s="7" t="s">
        <v>259</v>
      </c>
      <c r="K100" s="7" t="s">
        <v>259</v>
      </c>
      <c r="L100" s="42" t="s">
        <v>259</v>
      </c>
      <c r="M100" s="14" t="s">
        <v>259</v>
      </c>
      <c r="N100" s="7" t="s">
        <v>259</v>
      </c>
      <c r="O100" s="7" t="s">
        <v>259</v>
      </c>
      <c r="P100" s="7" t="s">
        <v>259</v>
      </c>
    </row>
    <row r="101" spans="1:16" ht="409.6" x14ac:dyDescent="0.3">
      <c r="A101" s="17"/>
      <c r="B101" s="6">
        <v>6</v>
      </c>
      <c r="C101" s="7" t="s">
        <v>342</v>
      </c>
      <c r="D101" s="7" t="s">
        <v>19</v>
      </c>
      <c r="E101" s="7" t="s">
        <v>343</v>
      </c>
      <c r="F101" s="7" t="b">
        <v>1</v>
      </c>
      <c r="G101" s="7"/>
      <c r="H101" s="16" t="s">
        <v>344</v>
      </c>
      <c r="I101" s="7" t="s">
        <v>313</v>
      </c>
      <c r="J101" s="43" t="s">
        <v>345</v>
      </c>
      <c r="K101" s="7">
        <v>8234567894</v>
      </c>
      <c r="L101" s="21" t="s">
        <v>346</v>
      </c>
      <c r="M101" s="14">
        <v>8234567899</v>
      </c>
      <c r="N101" s="7">
        <v>8234567895</v>
      </c>
      <c r="O101" s="7">
        <v>8123456789</v>
      </c>
      <c r="P101" s="7">
        <v>8234567892</v>
      </c>
    </row>
    <row r="102" spans="1:16" ht="409.6" x14ac:dyDescent="0.3">
      <c r="A102" s="17"/>
      <c r="B102" s="6">
        <v>7</v>
      </c>
      <c r="C102" s="7" t="s">
        <v>347</v>
      </c>
      <c r="D102" s="7" t="s">
        <v>348</v>
      </c>
      <c r="E102" s="7" t="s">
        <v>349</v>
      </c>
      <c r="F102" s="7" t="b">
        <v>1</v>
      </c>
      <c r="G102" s="7"/>
      <c r="H102" s="7" t="s">
        <v>350</v>
      </c>
      <c r="I102" s="7" t="s">
        <v>350</v>
      </c>
      <c r="J102" s="7" t="s">
        <v>350</v>
      </c>
      <c r="K102" s="7" t="s">
        <v>350</v>
      </c>
      <c r="L102" s="14" t="s">
        <v>350</v>
      </c>
      <c r="M102" s="14" t="s">
        <v>350</v>
      </c>
      <c r="N102" s="7" t="s">
        <v>350</v>
      </c>
      <c r="O102" s="7" t="s">
        <v>350</v>
      </c>
      <c r="P102" s="7" t="s">
        <v>350</v>
      </c>
    </row>
    <row r="103" spans="1:16" ht="409.6" x14ac:dyDescent="0.3">
      <c r="A103" s="17"/>
      <c r="B103" s="6">
        <v>8</v>
      </c>
      <c r="C103" s="7" t="s">
        <v>351</v>
      </c>
      <c r="D103" s="7" t="s">
        <v>352</v>
      </c>
      <c r="E103" s="7" t="s">
        <v>353</v>
      </c>
      <c r="F103" s="7" t="b">
        <v>1</v>
      </c>
      <c r="G103" s="7"/>
      <c r="H103" s="7" t="s">
        <v>354</v>
      </c>
      <c r="I103" s="7" t="s">
        <v>354</v>
      </c>
      <c r="J103" s="7" t="s">
        <v>354</v>
      </c>
      <c r="K103" s="7" t="s">
        <v>354</v>
      </c>
      <c r="L103" s="14" t="s">
        <v>354</v>
      </c>
      <c r="M103" s="14" t="s">
        <v>354</v>
      </c>
      <c r="N103" s="7" t="s">
        <v>354</v>
      </c>
      <c r="O103" s="7" t="s">
        <v>354</v>
      </c>
      <c r="P103" s="7" t="s">
        <v>354</v>
      </c>
    </row>
    <row r="104" spans="1:16" ht="388.8" x14ac:dyDescent="0.3">
      <c r="A104" s="17"/>
      <c r="B104" s="6">
        <v>9</v>
      </c>
      <c r="C104" s="7" t="s">
        <v>355</v>
      </c>
      <c r="D104" s="7" t="s">
        <v>356</v>
      </c>
      <c r="E104" s="7" t="s">
        <v>357</v>
      </c>
      <c r="F104" s="7" t="b">
        <v>1</v>
      </c>
      <c r="G104" s="7"/>
      <c r="H104" s="7" t="s">
        <v>358</v>
      </c>
      <c r="I104" s="7" t="s">
        <v>358</v>
      </c>
      <c r="J104" s="7" t="s">
        <v>358</v>
      </c>
      <c r="K104" s="7" t="s">
        <v>358</v>
      </c>
      <c r="L104" s="14" t="s">
        <v>358</v>
      </c>
      <c r="M104" s="14" t="s">
        <v>358</v>
      </c>
      <c r="N104" s="7" t="s">
        <v>358</v>
      </c>
      <c r="O104" s="7" t="s">
        <v>358</v>
      </c>
      <c r="P104" s="7" t="s">
        <v>358</v>
      </c>
    </row>
    <row r="105" spans="1:16" ht="409.6" x14ac:dyDescent="0.3">
      <c r="A105" s="17"/>
      <c r="B105" s="6">
        <v>10</v>
      </c>
      <c r="C105" s="7" t="s">
        <v>359</v>
      </c>
      <c r="D105" s="7" t="s">
        <v>183</v>
      </c>
      <c r="E105" s="7" t="s">
        <v>360</v>
      </c>
      <c r="F105" s="7" t="b">
        <v>1</v>
      </c>
      <c r="G105" s="7"/>
      <c r="H105" s="7" t="s">
        <v>361</v>
      </c>
      <c r="I105" s="25" t="s">
        <v>185</v>
      </c>
      <c r="J105" s="7" t="s">
        <v>186</v>
      </c>
      <c r="K105" s="7" t="s">
        <v>362</v>
      </c>
      <c r="L105" s="29" t="s">
        <v>363</v>
      </c>
      <c r="M105" s="14" t="s">
        <v>188</v>
      </c>
      <c r="N105" s="25" t="s">
        <v>364</v>
      </c>
      <c r="O105" s="7" t="s">
        <v>365</v>
      </c>
      <c r="P105" s="7" t="s">
        <v>366</v>
      </c>
    </row>
    <row r="106" spans="1:16" ht="409.6" x14ac:dyDescent="0.3">
      <c r="A106" s="17"/>
      <c r="B106" s="6">
        <v>11</v>
      </c>
      <c r="C106" s="7" t="s">
        <v>367</v>
      </c>
      <c r="D106" s="7" t="s">
        <v>368</v>
      </c>
      <c r="E106" s="7" t="s">
        <v>150</v>
      </c>
      <c r="F106" s="7" t="b">
        <v>1</v>
      </c>
      <c r="G106" s="14"/>
      <c r="H106" s="29" t="s">
        <v>369</v>
      </c>
      <c r="I106" s="7" t="s">
        <v>370</v>
      </c>
      <c r="J106" s="25" t="s">
        <v>371</v>
      </c>
      <c r="K106" s="7" t="s">
        <v>372</v>
      </c>
      <c r="L106" s="29" t="s">
        <v>373</v>
      </c>
      <c r="M106" s="14" t="s">
        <v>374</v>
      </c>
      <c r="N106" s="25" t="s">
        <v>375</v>
      </c>
      <c r="O106" s="7" t="s">
        <v>376</v>
      </c>
      <c r="P106" s="7" t="s">
        <v>377</v>
      </c>
    </row>
    <row r="107" spans="1:16" ht="374.4" x14ac:dyDescent="0.3">
      <c r="A107" s="17"/>
      <c r="B107" s="6">
        <v>12</v>
      </c>
      <c r="C107" s="44" t="s">
        <v>63</v>
      </c>
      <c r="D107" s="44" t="s">
        <v>378</v>
      </c>
      <c r="E107" s="7" t="s">
        <v>379</v>
      </c>
      <c r="F107" s="7" t="b">
        <v>1</v>
      </c>
      <c r="G107" s="7"/>
      <c r="H107" s="7" t="s">
        <v>380</v>
      </c>
      <c r="I107" s="7" t="s">
        <v>380</v>
      </c>
      <c r="J107" s="7" t="s">
        <v>381</v>
      </c>
      <c r="K107" s="25" t="s">
        <v>380</v>
      </c>
      <c r="L107" s="14" t="s">
        <v>381</v>
      </c>
      <c r="M107" s="14" t="s">
        <v>381</v>
      </c>
      <c r="N107" s="7" t="s">
        <v>381</v>
      </c>
      <c r="O107" s="7" t="s">
        <v>381</v>
      </c>
      <c r="P107" s="7" t="s">
        <v>381</v>
      </c>
    </row>
    <row r="108" spans="1:16" ht="388.8" x14ac:dyDescent="0.3">
      <c r="A108" s="17"/>
      <c r="B108" s="6">
        <v>13</v>
      </c>
      <c r="C108" s="7" t="s">
        <v>382</v>
      </c>
      <c r="D108" s="7" t="s">
        <v>383</v>
      </c>
      <c r="E108" s="7" t="s">
        <v>384</v>
      </c>
      <c r="F108" s="7" t="b">
        <v>1</v>
      </c>
      <c r="G108" s="7"/>
      <c r="H108" s="25" t="s">
        <v>385</v>
      </c>
      <c r="I108" s="25" t="s">
        <v>386</v>
      </c>
      <c r="J108" s="25" t="s">
        <v>387</v>
      </c>
      <c r="K108" s="7" t="s">
        <v>386</v>
      </c>
      <c r="L108" s="29" t="s">
        <v>387</v>
      </c>
      <c r="M108" s="14" t="s">
        <v>388</v>
      </c>
      <c r="N108" s="7" t="s">
        <v>386</v>
      </c>
      <c r="O108" s="25" t="s">
        <v>387</v>
      </c>
      <c r="P108" s="7" t="s">
        <v>387</v>
      </c>
    </row>
    <row r="109" spans="1:16" ht="360" x14ac:dyDescent="0.3">
      <c r="A109" s="17"/>
      <c r="B109" s="6">
        <v>14</v>
      </c>
      <c r="C109" s="7" t="s">
        <v>140</v>
      </c>
      <c r="D109" s="7" t="s">
        <v>389</v>
      </c>
      <c r="E109" s="45" t="s">
        <v>390</v>
      </c>
      <c r="F109" s="7" t="b">
        <v>1</v>
      </c>
      <c r="G109" s="7"/>
      <c r="H109" s="7" t="s">
        <v>143</v>
      </c>
      <c r="I109" s="7" t="s">
        <v>143</v>
      </c>
      <c r="J109" s="7" t="s">
        <v>143</v>
      </c>
      <c r="K109" s="7" t="s">
        <v>143</v>
      </c>
      <c r="L109" s="14" t="s">
        <v>143</v>
      </c>
      <c r="M109" s="14" t="s">
        <v>143</v>
      </c>
      <c r="N109" s="7" t="s">
        <v>143</v>
      </c>
      <c r="O109" s="7" t="s">
        <v>143</v>
      </c>
      <c r="P109" s="7" t="s">
        <v>143</v>
      </c>
    </row>
    <row r="110" spans="1:16" ht="388.8" x14ac:dyDescent="0.3">
      <c r="A110" s="17"/>
      <c r="B110" s="6">
        <v>15</v>
      </c>
      <c r="C110" s="7" t="s">
        <v>391</v>
      </c>
      <c r="D110" s="7" t="s">
        <v>392</v>
      </c>
      <c r="E110" s="45" t="s">
        <v>393</v>
      </c>
      <c r="F110" s="7" t="b">
        <v>1</v>
      </c>
      <c r="G110" s="7"/>
      <c r="H110" s="7" t="s">
        <v>394</v>
      </c>
      <c r="I110" s="25" t="s">
        <v>313</v>
      </c>
      <c r="J110" s="7" t="s">
        <v>394</v>
      </c>
      <c r="K110" s="7" t="s">
        <v>394</v>
      </c>
      <c r="L110" s="46" t="s">
        <v>233</v>
      </c>
      <c r="M110" s="14" t="s">
        <v>394</v>
      </c>
      <c r="N110" s="7" t="s">
        <v>394</v>
      </c>
      <c r="O110" s="7" t="s">
        <v>394</v>
      </c>
      <c r="P110" s="7" t="s">
        <v>394</v>
      </c>
    </row>
    <row r="111" spans="1:16" ht="409.6" x14ac:dyDescent="0.3">
      <c r="A111" s="17"/>
      <c r="B111" s="6">
        <v>16</v>
      </c>
      <c r="C111" s="7" t="s">
        <v>395</v>
      </c>
      <c r="D111" s="7" t="s">
        <v>396</v>
      </c>
      <c r="E111" s="45" t="s">
        <v>397</v>
      </c>
      <c r="F111" s="7" t="b">
        <v>1</v>
      </c>
      <c r="G111" s="7"/>
      <c r="H111" s="25" t="s">
        <v>398</v>
      </c>
      <c r="I111" s="43" t="s">
        <v>399</v>
      </c>
      <c r="J111" s="25" t="s">
        <v>24</v>
      </c>
      <c r="K111" s="25" t="s">
        <v>25</v>
      </c>
      <c r="L111" s="14" t="s">
        <v>26</v>
      </c>
      <c r="M111" s="29" t="s">
        <v>400</v>
      </c>
      <c r="N111" s="25" t="s">
        <v>401</v>
      </c>
      <c r="O111" s="16" t="s">
        <v>402</v>
      </c>
      <c r="P111" s="25" t="s">
        <v>403</v>
      </c>
    </row>
    <row r="112" spans="1:16" ht="288" x14ac:dyDescent="0.3">
      <c r="A112" s="17"/>
      <c r="B112" s="6">
        <v>17</v>
      </c>
      <c r="C112" s="7" t="s">
        <v>404</v>
      </c>
      <c r="D112" s="7" t="s">
        <v>183</v>
      </c>
      <c r="E112" s="7" t="s">
        <v>405</v>
      </c>
      <c r="F112" s="7" t="b">
        <v>1</v>
      </c>
      <c r="G112" s="7"/>
      <c r="H112" s="7" t="s">
        <v>406</v>
      </c>
      <c r="I112" s="7" t="s">
        <v>313</v>
      </c>
      <c r="J112" s="7" t="s">
        <v>406</v>
      </c>
      <c r="K112" s="7" t="s">
        <v>406</v>
      </c>
      <c r="L112" s="14" t="s">
        <v>406</v>
      </c>
      <c r="M112" s="14" t="s">
        <v>406</v>
      </c>
      <c r="N112" s="7" t="s">
        <v>406</v>
      </c>
      <c r="O112" s="7" t="s">
        <v>406</v>
      </c>
      <c r="P112" s="7" t="s">
        <v>406</v>
      </c>
    </row>
    <row r="113" spans="1:16" ht="230.4" x14ac:dyDescent="0.3">
      <c r="A113" s="17"/>
      <c r="B113" s="6">
        <v>18</v>
      </c>
      <c r="C113" s="7" t="s">
        <v>407</v>
      </c>
      <c r="D113" s="7" t="s">
        <v>408</v>
      </c>
      <c r="E113" s="45" t="s">
        <v>409</v>
      </c>
      <c r="F113" s="7" t="b">
        <v>1</v>
      </c>
      <c r="G113" s="7"/>
      <c r="H113" s="7" t="s">
        <v>73</v>
      </c>
      <c r="I113" s="7" t="s">
        <v>313</v>
      </c>
      <c r="J113" s="7" t="s">
        <v>233</v>
      </c>
      <c r="K113" s="7" t="s">
        <v>233</v>
      </c>
      <c r="L113" s="7" t="s">
        <v>233</v>
      </c>
      <c r="M113" s="7" t="s">
        <v>233</v>
      </c>
      <c r="N113" s="7" t="s">
        <v>233</v>
      </c>
      <c r="O113" s="7" t="s">
        <v>233</v>
      </c>
      <c r="P113" s="7" t="s">
        <v>233</v>
      </c>
    </row>
    <row r="114" spans="1:16" ht="409.6" x14ac:dyDescent="0.3">
      <c r="A114" s="17"/>
      <c r="B114" s="6">
        <v>19</v>
      </c>
      <c r="C114" s="7" t="s">
        <v>410</v>
      </c>
      <c r="D114" s="7" t="s">
        <v>396</v>
      </c>
      <c r="E114" s="45" t="s">
        <v>411</v>
      </c>
      <c r="F114" s="7" t="b">
        <v>1</v>
      </c>
      <c r="G114" s="7"/>
      <c r="H114" s="7" t="s">
        <v>73</v>
      </c>
      <c r="I114" s="7" t="s">
        <v>313</v>
      </c>
      <c r="J114" s="7" t="s">
        <v>73</v>
      </c>
      <c r="K114" s="7" t="s">
        <v>233</v>
      </c>
      <c r="L114" s="7" t="s">
        <v>73</v>
      </c>
      <c r="M114" s="7" t="s">
        <v>233</v>
      </c>
      <c r="N114" s="7" t="s">
        <v>233</v>
      </c>
      <c r="O114" s="7" t="s">
        <v>233</v>
      </c>
      <c r="P114" s="7" t="s">
        <v>233</v>
      </c>
    </row>
    <row r="115" spans="1:16" ht="288" x14ac:dyDescent="0.3">
      <c r="A115" s="17"/>
      <c r="B115" s="6">
        <v>20</v>
      </c>
      <c r="C115" s="7" t="s">
        <v>412</v>
      </c>
      <c r="D115" s="7" t="s">
        <v>183</v>
      </c>
      <c r="E115" s="7" t="s">
        <v>405</v>
      </c>
      <c r="F115" s="7" t="b">
        <v>1</v>
      </c>
      <c r="G115" s="7"/>
      <c r="H115" s="7" t="s">
        <v>73</v>
      </c>
      <c r="I115" s="7" t="s">
        <v>313</v>
      </c>
      <c r="J115" s="7" t="s">
        <v>73</v>
      </c>
      <c r="K115" s="7" t="s">
        <v>233</v>
      </c>
      <c r="L115" s="14" t="s">
        <v>73</v>
      </c>
      <c r="M115" s="7" t="s">
        <v>233</v>
      </c>
      <c r="N115" s="7" t="s">
        <v>233</v>
      </c>
      <c r="O115" s="7" t="s">
        <v>233</v>
      </c>
      <c r="P115" s="7" t="s">
        <v>233</v>
      </c>
    </row>
    <row r="116" spans="1:16" ht="374.4" x14ac:dyDescent="0.3">
      <c r="A116" s="17"/>
      <c r="B116" s="6">
        <v>21</v>
      </c>
      <c r="C116" s="7" t="s">
        <v>413</v>
      </c>
      <c r="D116" s="7" t="s">
        <v>414</v>
      </c>
      <c r="E116" s="7" t="s">
        <v>415</v>
      </c>
      <c r="F116" s="7" t="b">
        <v>1</v>
      </c>
      <c r="G116" s="7"/>
      <c r="H116" s="7" t="s">
        <v>73</v>
      </c>
      <c r="I116" s="7" t="s">
        <v>313</v>
      </c>
      <c r="J116" s="7" t="s">
        <v>73</v>
      </c>
      <c r="K116" s="7" t="s">
        <v>233</v>
      </c>
      <c r="L116" s="14" t="s">
        <v>73</v>
      </c>
      <c r="M116" s="7" t="s">
        <v>233</v>
      </c>
      <c r="N116" s="7" t="s">
        <v>233</v>
      </c>
      <c r="O116" s="7" t="s">
        <v>233</v>
      </c>
      <c r="P116" s="7" t="s">
        <v>233</v>
      </c>
    </row>
    <row r="117" spans="1:16" ht="273.60000000000002" x14ac:dyDescent="0.3">
      <c r="A117" s="17"/>
      <c r="B117" s="6">
        <v>22</v>
      </c>
      <c r="C117" s="7" t="s">
        <v>416</v>
      </c>
      <c r="D117" s="7" t="s">
        <v>272</v>
      </c>
      <c r="E117" s="7" t="s">
        <v>417</v>
      </c>
      <c r="F117" s="7" t="b">
        <v>1</v>
      </c>
      <c r="G117" s="7"/>
      <c r="H117" s="25" t="s">
        <v>418</v>
      </c>
      <c r="I117" s="25" t="s">
        <v>419</v>
      </c>
      <c r="J117" s="25" t="s">
        <v>420</v>
      </c>
      <c r="K117" s="25" t="s">
        <v>421</v>
      </c>
      <c r="L117" s="14" t="s">
        <v>422</v>
      </c>
      <c r="M117" s="14" t="s">
        <v>423</v>
      </c>
      <c r="N117" s="7" t="s">
        <v>424</v>
      </c>
      <c r="O117" s="25" t="s">
        <v>425</v>
      </c>
      <c r="P117" s="7" t="s">
        <v>426</v>
      </c>
    </row>
    <row r="118" spans="1:16" ht="409.6" x14ac:dyDescent="0.3">
      <c r="A118" s="17"/>
      <c r="B118" s="6">
        <v>23</v>
      </c>
      <c r="C118" s="7" t="s">
        <v>427</v>
      </c>
      <c r="D118" s="7" t="s">
        <v>428</v>
      </c>
      <c r="E118" s="7" t="s">
        <v>429</v>
      </c>
      <c r="F118" s="7" t="b">
        <v>1</v>
      </c>
      <c r="G118" s="7"/>
      <c r="H118" s="7" t="s">
        <v>430</v>
      </c>
      <c r="I118" s="7" t="s">
        <v>233</v>
      </c>
      <c r="J118" s="7" t="s">
        <v>233</v>
      </c>
      <c r="K118" s="25" t="s">
        <v>233</v>
      </c>
      <c r="L118" s="7" t="s">
        <v>430</v>
      </c>
      <c r="M118" s="7" t="s">
        <v>233</v>
      </c>
      <c r="N118" s="7" t="s">
        <v>233</v>
      </c>
      <c r="O118" s="7" t="s">
        <v>233</v>
      </c>
      <c r="P118" s="7" t="s">
        <v>233</v>
      </c>
    </row>
    <row r="119" spans="1:16" ht="129.6" x14ac:dyDescent="0.3">
      <c r="A119" s="17"/>
      <c r="B119" s="6">
        <v>24</v>
      </c>
      <c r="C119" s="44" t="s">
        <v>431</v>
      </c>
      <c r="D119" s="44" t="s">
        <v>432</v>
      </c>
      <c r="E119" s="45" t="s">
        <v>433</v>
      </c>
      <c r="F119" s="7" t="b">
        <v>1</v>
      </c>
      <c r="G119" s="7"/>
      <c r="H119" s="7" t="s">
        <v>430</v>
      </c>
      <c r="I119" s="25" t="s">
        <v>313</v>
      </c>
      <c r="J119" s="7" t="s">
        <v>430</v>
      </c>
      <c r="K119" s="7" t="s">
        <v>430</v>
      </c>
      <c r="L119" s="7" t="s">
        <v>430</v>
      </c>
      <c r="M119" s="7" t="s">
        <v>430</v>
      </c>
      <c r="N119" s="7" t="s">
        <v>430</v>
      </c>
      <c r="O119" s="7" t="s">
        <v>434</v>
      </c>
      <c r="P119" s="7" t="s">
        <v>430</v>
      </c>
    </row>
    <row r="120" spans="1:16" ht="409.6" x14ac:dyDescent="0.3">
      <c r="A120" s="17"/>
      <c r="B120" s="6">
        <v>25</v>
      </c>
      <c r="C120" s="7" t="s">
        <v>435</v>
      </c>
      <c r="D120" s="7" t="s">
        <v>183</v>
      </c>
      <c r="E120" s="7" t="s">
        <v>436</v>
      </c>
      <c r="F120" s="7" t="b">
        <v>1</v>
      </c>
      <c r="G120" s="7"/>
      <c r="H120" s="7" t="s">
        <v>233</v>
      </c>
      <c r="I120" s="25" t="s">
        <v>437</v>
      </c>
      <c r="J120" s="7" t="s">
        <v>233</v>
      </c>
      <c r="K120" s="7" t="s">
        <v>233</v>
      </c>
      <c r="L120" s="7" t="s">
        <v>233</v>
      </c>
      <c r="M120" s="7" t="s">
        <v>233</v>
      </c>
      <c r="N120" s="7" t="s">
        <v>233</v>
      </c>
      <c r="O120" s="7" t="s">
        <v>438</v>
      </c>
      <c r="P120" s="7" t="s">
        <v>233</v>
      </c>
    </row>
    <row r="121" spans="1:16" ht="316.8" x14ac:dyDescent="0.3">
      <c r="A121" s="17"/>
      <c r="B121" s="6">
        <v>26</v>
      </c>
      <c r="C121" s="7" t="s">
        <v>86</v>
      </c>
      <c r="D121" s="7" t="s">
        <v>439</v>
      </c>
      <c r="E121" s="44" t="s">
        <v>440</v>
      </c>
      <c r="F121" s="7" t="b">
        <v>1</v>
      </c>
      <c r="G121" s="7"/>
      <c r="H121" s="7" t="s">
        <v>233</v>
      </c>
      <c r="I121" s="16" t="s">
        <v>90</v>
      </c>
      <c r="J121" s="7" t="s">
        <v>233</v>
      </c>
      <c r="K121" s="7" t="s">
        <v>233</v>
      </c>
      <c r="L121" s="7" t="s">
        <v>233</v>
      </c>
      <c r="M121" s="7" t="s">
        <v>233</v>
      </c>
      <c r="N121" s="7" t="s">
        <v>233</v>
      </c>
      <c r="O121" s="16" t="s">
        <v>90</v>
      </c>
      <c r="P121" s="7" t="s">
        <v>233</v>
      </c>
    </row>
    <row r="122" spans="1:16" ht="288" x14ac:dyDescent="0.3">
      <c r="A122" s="17"/>
      <c r="B122" s="6">
        <v>27</v>
      </c>
      <c r="C122" s="7" t="s">
        <v>94</v>
      </c>
      <c r="D122" s="7" t="s">
        <v>439</v>
      </c>
      <c r="E122" s="44" t="s">
        <v>441</v>
      </c>
      <c r="F122" s="7" t="b">
        <v>1</v>
      </c>
      <c r="G122" s="7"/>
      <c r="H122" s="7" t="s">
        <v>233</v>
      </c>
      <c r="I122" s="16" t="s">
        <v>92</v>
      </c>
      <c r="J122" s="7" t="s">
        <v>233</v>
      </c>
      <c r="K122" s="7" t="s">
        <v>233</v>
      </c>
      <c r="L122" s="7" t="s">
        <v>233</v>
      </c>
      <c r="M122" s="7" t="s">
        <v>233</v>
      </c>
      <c r="N122" s="7" t="s">
        <v>233</v>
      </c>
      <c r="O122" s="16" t="s">
        <v>90</v>
      </c>
      <c r="P122" s="7" t="s">
        <v>233</v>
      </c>
    </row>
    <row r="123" spans="1:16" ht="302.39999999999998" x14ac:dyDescent="0.3">
      <c r="A123" s="17"/>
      <c r="B123" s="6">
        <v>28</v>
      </c>
      <c r="C123" s="7" t="s">
        <v>442</v>
      </c>
      <c r="D123" s="7" t="s">
        <v>183</v>
      </c>
      <c r="E123" s="44" t="s">
        <v>443</v>
      </c>
      <c r="F123" s="7" t="b">
        <v>1</v>
      </c>
      <c r="G123" s="7"/>
      <c r="H123" s="7" t="s">
        <v>233</v>
      </c>
      <c r="I123" s="7" t="s">
        <v>444</v>
      </c>
      <c r="J123" s="7" t="s">
        <v>233</v>
      </c>
      <c r="K123" s="7" t="s">
        <v>233</v>
      </c>
      <c r="L123" s="7" t="s">
        <v>233</v>
      </c>
      <c r="M123" s="7" t="s">
        <v>233</v>
      </c>
      <c r="N123" s="7" t="s">
        <v>233</v>
      </c>
      <c r="O123" s="7" t="s">
        <v>445</v>
      </c>
      <c r="P123" s="7" t="s">
        <v>233</v>
      </c>
    </row>
    <row r="124" spans="1:16" ht="216" x14ac:dyDescent="0.3">
      <c r="A124" s="17"/>
      <c r="B124" s="6">
        <v>29</v>
      </c>
      <c r="C124" s="7" t="s">
        <v>110</v>
      </c>
      <c r="D124" s="7" t="s">
        <v>183</v>
      </c>
      <c r="E124" s="44" t="s">
        <v>446</v>
      </c>
      <c r="F124" s="7" t="b">
        <v>1</v>
      </c>
      <c r="G124" s="7"/>
      <c r="H124" s="7" t="s">
        <v>233</v>
      </c>
      <c r="I124" s="7" t="s">
        <v>447</v>
      </c>
      <c r="J124" s="7" t="s">
        <v>233</v>
      </c>
      <c r="K124" s="7" t="s">
        <v>233</v>
      </c>
      <c r="L124" s="7" t="s">
        <v>233</v>
      </c>
      <c r="M124" s="7" t="s">
        <v>233</v>
      </c>
      <c r="N124" s="7" t="s">
        <v>233</v>
      </c>
      <c r="O124" s="7" t="s">
        <v>445</v>
      </c>
      <c r="P124" s="7" t="s">
        <v>233</v>
      </c>
    </row>
    <row r="125" spans="1:16" ht="331.2" x14ac:dyDescent="0.3">
      <c r="A125" s="17"/>
      <c r="B125" s="6">
        <v>30</v>
      </c>
      <c r="C125" s="7" t="s">
        <v>448</v>
      </c>
      <c r="D125" s="7" t="s">
        <v>183</v>
      </c>
      <c r="E125" s="7" t="s">
        <v>449</v>
      </c>
      <c r="F125" s="7" t="b">
        <v>1</v>
      </c>
      <c r="G125" s="7"/>
      <c r="H125" s="7" t="s">
        <v>233</v>
      </c>
      <c r="I125" s="7" t="s">
        <v>450</v>
      </c>
      <c r="J125" s="7" t="s">
        <v>233</v>
      </c>
      <c r="K125" s="7" t="s">
        <v>233</v>
      </c>
      <c r="L125" s="7" t="s">
        <v>233</v>
      </c>
      <c r="M125" s="7" t="s">
        <v>233</v>
      </c>
      <c r="N125" s="7" t="s">
        <v>233</v>
      </c>
      <c r="O125" s="7" t="s">
        <v>451</v>
      </c>
      <c r="P125" s="7" t="s">
        <v>233</v>
      </c>
    </row>
    <row r="126" spans="1:16" ht="288" x14ac:dyDescent="0.3">
      <c r="A126" s="17"/>
      <c r="B126" s="6">
        <v>31</v>
      </c>
      <c r="C126" s="7" t="s">
        <v>452</v>
      </c>
      <c r="D126" s="7" t="s">
        <v>183</v>
      </c>
      <c r="E126" s="7" t="s">
        <v>453</v>
      </c>
      <c r="F126" s="7" t="b">
        <v>1</v>
      </c>
      <c r="G126" s="7"/>
      <c r="H126" s="7" t="s">
        <v>233</v>
      </c>
      <c r="I126" s="7" t="s">
        <v>233</v>
      </c>
      <c r="J126" s="7" t="s">
        <v>233</v>
      </c>
      <c r="K126" s="7" t="s">
        <v>233</v>
      </c>
      <c r="L126" s="7" t="s">
        <v>233</v>
      </c>
      <c r="M126" s="7" t="s">
        <v>233</v>
      </c>
      <c r="N126" s="7" t="s">
        <v>233</v>
      </c>
      <c r="O126" s="7">
        <v>16810</v>
      </c>
      <c r="P126" s="7" t="s">
        <v>233</v>
      </c>
    </row>
    <row r="127" spans="1:16" ht="331.2" x14ac:dyDescent="0.3">
      <c r="A127" s="17"/>
      <c r="B127" s="6">
        <v>32</v>
      </c>
      <c r="C127" s="7" t="s">
        <v>454</v>
      </c>
      <c r="D127" s="7" t="s">
        <v>183</v>
      </c>
      <c r="E127" s="7" t="s">
        <v>449</v>
      </c>
      <c r="F127" s="7" t="b">
        <v>1</v>
      </c>
      <c r="G127" s="7"/>
      <c r="H127" s="7" t="s">
        <v>233</v>
      </c>
      <c r="I127" s="7" t="s">
        <v>455</v>
      </c>
      <c r="J127" s="7" t="s">
        <v>233</v>
      </c>
      <c r="K127" s="7" t="s">
        <v>233</v>
      </c>
      <c r="L127" s="7" t="s">
        <v>233</v>
      </c>
      <c r="M127" s="7" t="s">
        <v>233</v>
      </c>
      <c r="N127" s="7" t="s">
        <v>233</v>
      </c>
      <c r="O127" s="7" t="s">
        <v>456</v>
      </c>
      <c r="P127" s="7" t="s">
        <v>233</v>
      </c>
    </row>
    <row r="128" spans="1:16" ht="288" x14ac:dyDescent="0.3">
      <c r="A128" s="17"/>
      <c r="B128" s="6">
        <v>33</v>
      </c>
      <c r="C128" s="7" t="s">
        <v>457</v>
      </c>
      <c r="D128" s="7" t="s">
        <v>458</v>
      </c>
      <c r="E128" s="47" t="s">
        <v>459</v>
      </c>
      <c r="F128" s="7" t="b">
        <v>1</v>
      </c>
      <c r="G128" s="7"/>
      <c r="H128" s="7" t="s">
        <v>430</v>
      </c>
      <c r="I128" s="7" t="s">
        <v>313</v>
      </c>
      <c r="J128" s="7" t="s">
        <v>430</v>
      </c>
      <c r="K128" s="7" t="s">
        <v>430</v>
      </c>
      <c r="L128" s="7" t="s">
        <v>430</v>
      </c>
      <c r="M128" s="14" t="s">
        <v>430</v>
      </c>
      <c r="N128" s="7" t="s">
        <v>430</v>
      </c>
      <c r="O128" s="25" t="s">
        <v>460</v>
      </c>
      <c r="P128" s="7" t="s">
        <v>430</v>
      </c>
    </row>
    <row r="129" spans="1:16" ht="302.39999999999998" x14ac:dyDescent="0.3">
      <c r="A129" s="17"/>
      <c r="B129" s="6">
        <v>34</v>
      </c>
      <c r="C129" s="7" t="s">
        <v>461</v>
      </c>
      <c r="D129" s="7" t="s">
        <v>462</v>
      </c>
      <c r="E129" s="47" t="s">
        <v>463</v>
      </c>
      <c r="F129" s="7" t="b">
        <v>1</v>
      </c>
      <c r="G129" s="7"/>
      <c r="H129" s="7" t="s">
        <v>464</v>
      </c>
      <c r="I129" s="7" t="s">
        <v>313</v>
      </c>
      <c r="J129" s="25" t="s">
        <v>464</v>
      </c>
      <c r="K129" s="7" t="s">
        <v>465</v>
      </c>
      <c r="L129" s="29" t="s">
        <v>464</v>
      </c>
      <c r="M129" s="29" t="s">
        <v>464</v>
      </c>
      <c r="N129" s="7" t="s">
        <v>464</v>
      </c>
      <c r="O129" s="25" t="s">
        <v>466</v>
      </c>
      <c r="P129" s="7" t="s">
        <v>464</v>
      </c>
    </row>
    <row r="130" spans="1:16" ht="100.8" x14ac:dyDescent="0.3">
      <c r="A130" s="17"/>
      <c r="B130" s="6">
        <v>35</v>
      </c>
      <c r="C130" s="7" t="s">
        <v>467</v>
      </c>
      <c r="D130" s="7" t="s">
        <v>468</v>
      </c>
      <c r="E130" s="7" t="s">
        <v>468</v>
      </c>
      <c r="F130" s="7" t="b">
        <v>1</v>
      </c>
      <c r="G130" s="7"/>
      <c r="H130" s="25" t="s">
        <v>469</v>
      </c>
      <c r="I130" s="7" t="s">
        <v>313</v>
      </c>
      <c r="J130" s="25" t="s">
        <v>469</v>
      </c>
      <c r="K130" s="7" t="s">
        <v>469</v>
      </c>
      <c r="L130" s="14" t="s">
        <v>470</v>
      </c>
      <c r="M130" s="25" t="s">
        <v>233</v>
      </c>
      <c r="N130" s="7" t="s">
        <v>469</v>
      </c>
      <c r="O130" s="25" t="s">
        <v>233</v>
      </c>
      <c r="P130" s="25" t="s">
        <v>471</v>
      </c>
    </row>
    <row r="131" spans="1:16" ht="288" x14ac:dyDescent="0.3">
      <c r="A131" s="17"/>
      <c r="B131" s="6">
        <v>36</v>
      </c>
      <c r="C131" s="7" t="s">
        <v>472</v>
      </c>
      <c r="D131" s="7" t="s">
        <v>183</v>
      </c>
      <c r="E131" s="45" t="s">
        <v>473</v>
      </c>
      <c r="F131" s="7" t="b">
        <v>1</v>
      </c>
      <c r="G131" s="7"/>
      <c r="H131" s="7" t="s">
        <v>73</v>
      </c>
      <c r="I131" s="7" t="s">
        <v>73</v>
      </c>
      <c r="J131" s="7" t="s">
        <v>73</v>
      </c>
      <c r="K131" s="7" t="s">
        <v>233</v>
      </c>
      <c r="L131" s="14" t="s">
        <v>73</v>
      </c>
      <c r="M131" s="14" t="s">
        <v>73</v>
      </c>
      <c r="N131" s="7" t="s">
        <v>233</v>
      </c>
      <c r="O131" s="7" t="s">
        <v>233</v>
      </c>
      <c r="P131" s="7" t="s">
        <v>233</v>
      </c>
    </row>
    <row r="132" spans="1:16" ht="273.60000000000002" x14ac:dyDescent="0.3">
      <c r="A132" s="17"/>
      <c r="B132" s="6">
        <v>37</v>
      </c>
      <c r="C132" s="7" t="s">
        <v>474</v>
      </c>
      <c r="D132" s="7" t="s">
        <v>183</v>
      </c>
      <c r="E132" s="45" t="s">
        <v>475</v>
      </c>
      <c r="F132" s="7" t="b">
        <v>1</v>
      </c>
      <c r="G132" s="7"/>
      <c r="H132" s="43" t="s">
        <v>476</v>
      </c>
      <c r="I132" s="43" t="s">
        <v>477</v>
      </c>
      <c r="J132" s="43" t="s">
        <v>478</v>
      </c>
      <c r="K132" s="16" t="s">
        <v>479</v>
      </c>
      <c r="L132" s="48" t="s">
        <v>480</v>
      </c>
      <c r="M132" s="49" t="s">
        <v>481</v>
      </c>
      <c r="N132" s="16" t="s">
        <v>482</v>
      </c>
      <c r="O132" s="16" t="s">
        <v>483</v>
      </c>
      <c r="P132" s="16" t="s">
        <v>484</v>
      </c>
    </row>
    <row r="133" spans="1:16" ht="403.2" x14ac:dyDescent="0.3">
      <c r="A133" s="17"/>
      <c r="B133" s="6">
        <v>38</v>
      </c>
      <c r="C133" s="7" t="s">
        <v>485</v>
      </c>
      <c r="D133" s="7" t="s">
        <v>183</v>
      </c>
      <c r="E133" s="45" t="s">
        <v>486</v>
      </c>
      <c r="F133" s="7" t="b">
        <v>1</v>
      </c>
      <c r="G133" s="7"/>
      <c r="H133" s="7" t="s">
        <v>487</v>
      </c>
      <c r="I133" s="7" t="s">
        <v>233</v>
      </c>
      <c r="J133" s="50" t="s">
        <v>488</v>
      </c>
      <c r="K133" s="8" t="s">
        <v>489</v>
      </c>
      <c r="L133" s="29" t="s">
        <v>490</v>
      </c>
      <c r="M133" s="29" t="s">
        <v>491</v>
      </c>
      <c r="N133" s="25" t="s">
        <v>492</v>
      </c>
      <c r="O133" s="25" t="s">
        <v>493</v>
      </c>
      <c r="P133" s="7" t="s">
        <v>494</v>
      </c>
    </row>
    <row r="134" spans="1:16" ht="409.6" x14ac:dyDescent="0.3">
      <c r="A134" s="17"/>
      <c r="B134" s="6">
        <v>39</v>
      </c>
      <c r="C134" s="7" t="s">
        <v>495</v>
      </c>
      <c r="D134" s="7" t="s">
        <v>496</v>
      </c>
      <c r="E134" s="45" t="s">
        <v>497</v>
      </c>
      <c r="F134" s="7" t="b">
        <v>1</v>
      </c>
      <c r="G134" s="7"/>
      <c r="H134" s="7" t="s">
        <v>498</v>
      </c>
      <c r="I134" s="25" t="s">
        <v>499</v>
      </c>
      <c r="J134" s="7" t="s">
        <v>500</v>
      </c>
      <c r="K134" s="7" t="s">
        <v>498</v>
      </c>
      <c r="L134" s="14" t="s">
        <v>501</v>
      </c>
      <c r="M134" s="14" t="s">
        <v>500</v>
      </c>
      <c r="N134" s="7" t="s">
        <v>502</v>
      </c>
      <c r="O134" s="7" t="s">
        <v>500</v>
      </c>
      <c r="P134" s="7" t="s">
        <v>498</v>
      </c>
    </row>
    <row r="135" spans="1:16" ht="259.2" x14ac:dyDescent="0.3">
      <c r="A135" s="17"/>
      <c r="B135" s="6">
        <v>40</v>
      </c>
      <c r="C135" s="7" t="s">
        <v>503</v>
      </c>
      <c r="D135" s="7" t="s">
        <v>504</v>
      </c>
      <c r="E135" s="45" t="s">
        <v>505</v>
      </c>
      <c r="F135" s="7" t="b">
        <v>1</v>
      </c>
      <c r="G135" s="7"/>
      <c r="H135" s="7" t="s">
        <v>506</v>
      </c>
      <c r="I135" s="7" t="s">
        <v>313</v>
      </c>
      <c r="J135" s="7" t="s">
        <v>506</v>
      </c>
      <c r="K135" s="7" t="s">
        <v>506</v>
      </c>
      <c r="L135" s="7" t="s">
        <v>506</v>
      </c>
      <c r="M135" s="14" t="s">
        <v>506</v>
      </c>
      <c r="N135" s="7" t="s">
        <v>506</v>
      </c>
      <c r="O135" s="7" t="s">
        <v>506</v>
      </c>
      <c r="P135" s="7" t="s">
        <v>507</v>
      </c>
    </row>
    <row r="136" spans="1:16" ht="316.8" x14ac:dyDescent="0.3">
      <c r="A136" s="17"/>
      <c r="B136" s="6">
        <v>41</v>
      </c>
      <c r="C136" s="7" t="s">
        <v>508</v>
      </c>
      <c r="D136" s="7" t="s">
        <v>509</v>
      </c>
      <c r="E136" s="45" t="s">
        <v>510</v>
      </c>
      <c r="F136" s="7" t="b">
        <v>1</v>
      </c>
      <c r="G136" s="7"/>
      <c r="H136" s="7" t="s">
        <v>511</v>
      </c>
      <c r="I136" s="7" t="s">
        <v>512</v>
      </c>
      <c r="J136" s="7" t="s">
        <v>513</v>
      </c>
      <c r="K136" s="25" t="s">
        <v>511</v>
      </c>
      <c r="L136" s="29" t="s">
        <v>501</v>
      </c>
      <c r="M136" s="29" t="s">
        <v>514</v>
      </c>
      <c r="N136" s="7" t="s">
        <v>513</v>
      </c>
      <c r="O136" s="25" t="s">
        <v>515</v>
      </c>
      <c r="P136" s="25" t="s">
        <v>511</v>
      </c>
    </row>
    <row r="137" spans="1:16" ht="409.6" x14ac:dyDescent="0.3">
      <c r="A137" s="17"/>
      <c r="B137" s="6">
        <v>42</v>
      </c>
      <c r="C137" s="7" t="s">
        <v>516</v>
      </c>
      <c r="D137" s="7" t="s">
        <v>183</v>
      </c>
      <c r="E137" s="7" t="s">
        <v>517</v>
      </c>
      <c r="F137" s="7" t="b">
        <v>1</v>
      </c>
      <c r="G137" s="7"/>
      <c r="H137" s="7" t="s">
        <v>518</v>
      </c>
      <c r="I137" s="25" t="s">
        <v>519</v>
      </c>
      <c r="J137" s="7" t="s">
        <v>520</v>
      </c>
      <c r="K137" s="7" t="s">
        <v>521</v>
      </c>
      <c r="L137" s="14" t="s">
        <v>522</v>
      </c>
      <c r="M137" s="14" t="s">
        <v>523</v>
      </c>
      <c r="N137" s="7" t="s">
        <v>524</v>
      </c>
      <c r="O137" s="7" t="s">
        <v>525</v>
      </c>
      <c r="P137" s="7" t="s">
        <v>526</v>
      </c>
    </row>
    <row r="138" spans="1:16" ht="273.60000000000002" x14ac:dyDescent="0.3">
      <c r="A138" s="17"/>
      <c r="B138" s="6">
        <v>43</v>
      </c>
      <c r="C138" s="7" t="s">
        <v>527</v>
      </c>
      <c r="D138" s="7" t="s">
        <v>183</v>
      </c>
      <c r="E138" s="7" t="s">
        <v>417</v>
      </c>
      <c r="F138" s="7" t="b">
        <v>1</v>
      </c>
      <c r="G138" s="7"/>
      <c r="H138" s="7" t="s">
        <v>528</v>
      </c>
      <c r="I138" s="25" t="s">
        <v>313</v>
      </c>
      <c r="J138" s="7" t="s">
        <v>233</v>
      </c>
      <c r="K138" s="7" t="s">
        <v>529</v>
      </c>
      <c r="L138" s="14" t="s">
        <v>530</v>
      </c>
      <c r="M138" s="14" t="s">
        <v>531</v>
      </c>
      <c r="N138" s="7" t="s">
        <v>532</v>
      </c>
      <c r="O138" s="7" t="s">
        <v>533</v>
      </c>
      <c r="P138" s="7" t="s">
        <v>529</v>
      </c>
    </row>
    <row r="139" spans="1:16" ht="360" x14ac:dyDescent="0.3">
      <c r="A139" s="17"/>
      <c r="B139" s="6">
        <v>44</v>
      </c>
      <c r="C139" s="7" t="s">
        <v>534</v>
      </c>
      <c r="D139" s="7" t="s">
        <v>183</v>
      </c>
      <c r="E139" s="7" t="s">
        <v>535</v>
      </c>
      <c r="F139" s="7" t="b">
        <v>1</v>
      </c>
      <c r="G139" s="7"/>
      <c r="H139" s="7" t="s">
        <v>73</v>
      </c>
      <c r="I139" s="25" t="s">
        <v>313</v>
      </c>
      <c r="J139" s="7" t="s">
        <v>536</v>
      </c>
      <c r="K139" s="7">
        <v>2023</v>
      </c>
      <c r="L139" s="14">
        <v>2018</v>
      </c>
      <c r="M139" s="14">
        <v>2020</v>
      </c>
      <c r="N139" s="7">
        <v>2019</v>
      </c>
      <c r="O139" s="7">
        <v>2024</v>
      </c>
      <c r="P139" s="7">
        <v>2018</v>
      </c>
    </row>
    <row r="140" spans="1:16" ht="388.8" x14ac:dyDescent="0.3">
      <c r="A140" s="17"/>
      <c r="B140" s="6">
        <v>45</v>
      </c>
      <c r="C140" s="7" t="s">
        <v>537</v>
      </c>
      <c r="D140" s="7" t="s">
        <v>183</v>
      </c>
      <c r="E140" s="7" t="s">
        <v>538</v>
      </c>
      <c r="F140" s="7" t="b">
        <v>1</v>
      </c>
      <c r="G140" s="7"/>
      <c r="H140" s="51" t="s">
        <v>539</v>
      </c>
      <c r="I140" s="25" t="s">
        <v>540</v>
      </c>
      <c r="J140" s="7" t="s">
        <v>541</v>
      </c>
      <c r="K140" s="25" t="s">
        <v>542</v>
      </c>
      <c r="L140" s="29" t="s">
        <v>543</v>
      </c>
      <c r="M140" s="14" t="s">
        <v>544</v>
      </c>
      <c r="N140" s="7" t="s">
        <v>545</v>
      </c>
      <c r="O140" s="7" t="s">
        <v>546</v>
      </c>
      <c r="P140" s="7" t="s">
        <v>547</v>
      </c>
    </row>
    <row r="141" spans="1:16" ht="259.2" x14ac:dyDescent="0.3">
      <c r="A141" s="17"/>
      <c r="B141" s="6">
        <v>46</v>
      </c>
      <c r="C141" s="7" t="s">
        <v>548</v>
      </c>
      <c r="D141" s="7" t="s">
        <v>183</v>
      </c>
      <c r="E141" s="7" t="s">
        <v>549</v>
      </c>
      <c r="F141" s="7" t="b">
        <v>1</v>
      </c>
      <c r="G141" s="7"/>
      <c r="H141" s="7" t="s">
        <v>550</v>
      </c>
      <c r="I141" s="25" t="s">
        <v>313</v>
      </c>
      <c r="J141" s="7" t="s">
        <v>551</v>
      </c>
      <c r="K141" s="7" t="s">
        <v>552</v>
      </c>
      <c r="L141" s="14" t="s">
        <v>553</v>
      </c>
      <c r="M141" s="14" t="s">
        <v>554</v>
      </c>
      <c r="N141" s="7" t="s">
        <v>555</v>
      </c>
      <c r="O141" s="7" t="s">
        <v>552</v>
      </c>
      <c r="P141" s="7" t="s">
        <v>556</v>
      </c>
    </row>
    <row r="142" spans="1:16" ht="216" x14ac:dyDescent="0.3">
      <c r="A142" s="17"/>
      <c r="B142" s="6">
        <v>47</v>
      </c>
      <c r="C142" s="7" t="s">
        <v>557</v>
      </c>
      <c r="D142" s="7" t="s">
        <v>558</v>
      </c>
      <c r="E142" s="7" t="s">
        <v>559</v>
      </c>
      <c r="F142" s="7" t="b">
        <v>1</v>
      </c>
      <c r="G142" s="7"/>
      <c r="H142" s="7" t="s">
        <v>341</v>
      </c>
      <c r="I142" s="7" t="s">
        <v>313</v>
      </c>
      <c r="J142" s="7" t="s">
        <v>233</v>
      </c>
      <c r="K142" s="7">
        <v>16152</v>
      </c>
      <c r="L142" s="14" t="s">
        <v>233</v>
      </c>
      <c r="M142" s="7" t="s">
        <v>233</v>
      </c>
      <c r="N142" s="7" t="s">
        <v>233</v>
      </c>
      <c r="O142" s="7" t="s">
        <v>233</v>
      </c>
      <c r="P142" s="7" t="s">
        <v>233</v>
      </c>
    </row>
    <row r="143" spans="1:16" ht="259.2" x14ac:dyDescent="0.3">
      <c r="A143" s="17"/>
      <c r="B143" s="6">
        <v>48</v>
      </c>
      <c r="C143" s="7" t="s">
        <v>560</v>
      </c>
      <c r="D143" s="7" t="s">
        <v>183</v>
      </c>
      <c r="E143" s="7" t="s">
        <v>549</v>
      </c>
      <c r="F143" s="7" t="b">
        <v>1</v>
      </c>
      <c r="G143" s="7"/>
      <c r="H143" s="7" t="s">
        <v>561</v>
      </c>
      <c r="I143" s="7" t="s">
        <v>313</v>
      </c>
      <c r="J143" s="7" t="s">
        <v>562</v>
      </c>
      <c r="K143" s="7" t="s">
        <v>456</v>
      </c>
      <c r="L143" s="14" t="s">
        <v>562</v>
      </c>
      <c r="M143" s="14" t="s">
        <v>456</v>
      </c>
      <c r="N143" s="7" t="s">
        <v>563</v>
      </c>
      <c r="O143" s="7" t="s">
        <v>456</v>
      </c>
      <c r="P143" s="7" t="s">
        <v>564</v>
      </c>
    </row>
    <row r="144" spans="1:16" ht="288" x14ac:dyDescent="0.3">
      <c r="A144" s="17"/>
      <c r="B144" s="6">
        <v>49</v>
      </c>
      <c r="C144" s="7" t="s">
        <v>565</v>
      </c>
      <c r="D144" s="7" t="s">
        <v>183</v>
      </c>
      <c r="E144" s="45" t="s">
        <v>473</v>
      </c>
      <c r="F144" s="7" t="b">
        <v>1</v>
      </c>
      <c r="G144" s="7"/>
      <c r="H144" s="7" t="s">
        <v>73</v>
      </c>
      <c r="I144" s="7" t="s">
        <v>313</v>
      </c>
      <c r="J144" s="7" t="s">
        <v>233</v>
      </c>
      <c r="K144" s="7" t="s">
        <v>233</v>
      </c>
      <c r="L144" s="14" t="s">
        <v>233</v>
      </c>
      <c r="M144" s="7" t="s">
        <v>233</v>
      </c>
      <c r="N144" s="7" t="s">
        <v>233</v>
      </c>
      <c r="O144" s="7" t="s">
        <v>233</v>
      </c>
      <c r="P144" s="7" t="s">
        <v>233</v>
      </c>
    </row>
    <row r="145" spans="1:16" ht="316.8" x14ac:dyDescent="0.3">
      <c r="A145" s="17"/>
      <c r="B145" s="6">
        <v>50</v>
      </c>
      <c r="C145" s="7" t="s">
        <v>566</v>
      </c>
      <c r="D145" s="7" t="s">
        <v>183</v>
      </c>
      <c r="E145" s="45" t="s">
        <v>567</v>
      </c>
      <c r="F145" s="7" t="b">
        <v>1</v>
      </c>
      <c r="G145" s="7"/>
      <c r="H145" s="7" t="s">
        <v>73</v>
      </c>
      <c r="I145" s="7" t="s">
        <v>313</v>
      </c>
      <c r="J145" s="7" t="s">
        <v>233</v>
      </c>
      <c r="K145" s="7" t="s">
        <v>233</v>
      </c>
      <c r="L145" s="14" t="s">
        <v>233</v>
      </c>
      <c r="M145" s="7" t="s">
        <v>233</v>
      </c>
      <c r="N145" s="7" t="s">
        <v>233</v>
      </c>
      <c r="O145" s="7" t="s">
        <v>233</v>
      </c>
      <c r="P145" s="7" t="s">
        <v>233</v>
      </c>
    </row>
    <row r="146" spans="1:16" ht="360" x14ac:dyDescent="0.3">
      <c r="A146" s="17"/>
      <c r="B146" s="6">
        <v>51</v>
      </c>
      <c r="C146" s="7" t="s">
        <v>568</v>
      </c>
      <c r="D146" s="7" t="s">
        <v>569</v>
      </c>
      <c r="E146" s="47" t="s">
        <v>570</v>
      </c>
      <c r="F146" s="7" t="b">
        <v>1</v>
      </c>
      <c r="G146" s="7"/>
      <c r="H146" s="25" t="s">
        <v>571</v>
      </c>
      <c r="I146" s="25" t="s">
        <v>572</v>
      </c>
      <c r="J146" s="25" t="s">
        <v>573</v>
      </c>
      <c r="K146" s="25" t="s">
        <v>574</v>
      </c>
      <c r="L146" s="29" t="s">
        <v>575</v>
      </c>
      <c r="M146" s="25" t="s">
        <v>574</v>
      </c>
      <c r="N146" s="7" t="s">
        <v>573</v>
      </c>
      <c r="O146" s="7" t="s">
        <v>576</v>
      </c>
      <c r="P146" s="25" t="s">
        <v>574</v>
      </c>
    </row>
    <row r="147" spans="1:16" ht="409.6" x14ac:dyDescent="0.3">
      <c r="A147" s="17"/>
      <c r="B147" s="6">
        <v>52</v>
      </c>
      <c r="C147" s="7" t="s">
        <v>577</v>
      </c>
      <c r="D147" s="7" t="s">
        <v>578</v>
      </c>
      <c r="E147" s="47" t="s">
        <v>579</v>
      </c>
      <c r="F147" s="7" t="b">
        <v>1</v>
      </c>
      <c r="G147" s="7"/>
      <c r="H147" s="25" t="s">
        <v>580</v>
      </c>
      <c r="I147" s="25" t="s">
        <v>580</v>
      </c>
      <c r="J147" s="25" t="s">
        <v>580</v>
      </c>
      <c r="K147" s="7" t="s">
        <v>580</v>
      </c>
      <c r="L147" s="29" t="s">
        <v>580</v>
      </c>
      <c r="M147" s="7" t="s">
        <v>580</v>
      </c>
      <c r="N147" s="7" t="s">
        <v>580</v>
      </c>
      <c r="O147" s="7" t="s">
        <v>580</v>
      </c>
      <c r="P147" s="7" t="s">
        <v>580</v>
      </c>
    </row>
    <row r="148" spans="1:16" ht="388.8" x14ac:dyDescent="0.3">
      <c r="A148" s="17"/>
      <c r="B148" s="6">
        <v>53</v>
      </c>
      <c r="C148" s="7" t="s">
        <v>581</v>
      </c>
      <c r="D148" s="7" t="s">
        <v>582</v>
      </c>
      <c r="E148" s="47" t="s">
        <v>583</v>
      </c>
      <c r="F148" s="7" t="b">
        <v>1</v>
      </c>
      <c r="G148" s="7"/>
      <c r="H148" s="7" t="s">
        <v>584</v>
      </c>
      <c r="I148" s="25" t="s">
        <v>584</v>
      </c>
      <c r="J148" s="7" t="s">
        <v>584</v>
      </c>
      <c r="K148" s="25" t="s">
        <v>585</v>
      </c>
      <c r="L148" s="14" t="s">
        <v>584</v>
      </c>
      <c r="M148" s="14" t="s">
        <v>584</v>
      </c>
      <c r="N148" s="7" t="s">
        <v>584</v>
      </c>
      <c r="O148" s="7" t="s">
        <v>584</v>
      </c>
      <c r="P148" s="25" t="s">
        <v>585</v>
      </c>
    </row>
    <row r="149" spans="1:16" ht="388.8" x14ac:dyDescent="0.3">
      <c r="A149" s="17"/>
      <c r="B149" s="6">
        <v>54</v>
      </c>
      <c r="C149" s="7" t="s">
        <v>586</v>
      </c>
      <c r="D149" s="7" t="s">
        <v>587</v>
      </c>
      <c r="E149" s="45" t="s">
        <v>588</v>
      </c>
      <c r="F149" s="7" t="b">
        <v>1</v>
      </c>
      <c r="G149" s="7"/>
      <c r="H149" s="7" t="s">
        <v>341</v>
      </c>
      <c r="I149" s="7" t="s">
        <v>233</v>
      </c>
      <c r="J149" s="7" t="s">
        <v>233</v>
      </c>
      <c r="K149" s="25" t="s">
        <v>233</v>
      </c>
      <c r="L149" s="7" t="s">
        <v>233</v>
      </c>
      <c r="M149" s="7" t="s">
        <v>233</v>
      </c>
      <c r="N149" s="7" t="s">
        <v>233</v>
      </c>
      <c r="O149" s="7" t="s">
        <v>233</v>
      </c>
      <c r="P149" s="7" t="s">
        <v>233</v>
      </c>
    </row>
    <row r="150" spans="1:16" ht="409.6" x14ac:dyDescent="0.3">
      <c r="A150" s="17"/>
      <c r="B150" s="6">
        <v>55</v>
      </c>
      <c r="C150" s="7" t="s">
        <v>589</v>
      </c>
      <c r="D150" s="7" t="s">
        <v>569</v>
      </c>
      <c r="E150" s="45" t="s">
        <v>590</v>
      </c>
      <c r="F150" s="7" t="b">
        <v>1</v>
      </c>
      <c r="G150" s="7"/>
      <c r="H150" s="25" t="s">
        <v>571</v>
      </c>
      <c r="I150" s="25" t="s">
        <v>591</v>
      </c>
      <c r="J150" s="25" t="s">
        <v>592</v>
      </c>
      <c r="K150" s="25" t="s">
        <v>233</v>
      </c>
      <c r="L150" s="14" t="s">
        <v>576</v>
      </c>
      <c r="M150" s="7" t="s">
        <v>233</v>
      </c>
      <c r="N150" s="7" t="s">
        <v>233</v>
      </c>
      <c r="O150" s="7" t="s">
        <v>233</v>
      </c>
      <c r="P150" s="25" t="s">
        <v>233</v>
      </c>
    </row>
    <row r="151" spans="1:16" ht="374.4" x14ac:dyDescent="0.3">
      <c r="A151" s="17"/>
      <c r="B151" s="6">
        <v>56</v>
      </c>
      <c r="C151" s="7" t="s">
        <v>593</v>
      </c>
      <c r="D151" s="7" t="s">
        <v>594</v>
      </c>
      <c r="E151" s="45" t="s">
        <v>595</v>
      </c>
      <c r="F151" s="7" t="b">
        <v>1</v>
      </c>
      <c r="G151" s="7"/>
      <c r="H151" s="25" t="s">
        <v>596</v>
      </c>
      <c r="I151" s="7" t="s">
        <v>233</v>
      </c>
      <c r="J151" s="25" t="s">
        <v>597</v>
      </c>
      <c r="K151" s="7" t="s">
        <v>598</v>
      </c>
      <c r="L151" s="14" t="s">
        <v>596</v>
      </c>
      <c r="M151" s="29" t="s">
        <v>596</v>
      </c>
      <c r="N151" s="7" t="s">
        <v>599</v>
      </c>
      <c r="O151" s="7" t="s">
        <v>599</v>
      </c>
      <c r="P151" s="25" t="s">
        <v>600</v>
      </c>
    </row>
    <row r="152" spans="1:16" ht="409.6" x14ac:dyDescent="0.3">
      <c r="A152" s="17"/>
      <c r="B152" s="6">
        <v>57</v>
      </c>
      <c r="C152" s="7" t="s">
        <v>601</v>
      </c>
      <c r="D152" s="7" t="s">
        <v>602</v>
      </c>
      <c r="E152" s="45" t="s">
        <v>603</v>
      </c>
      <c r="F152" s="7" t="b">
        <v>1</v>
      </c>
      <c r="G152" s="7"/>
      <c r="H152" s="25" t="s">
        <v>604</v>
      </c>
      <c r="I152" s="7" t="s">
        <v>233</v>
      </c>
      <c r="J152" s="7" t="s">
        <v>605</v>
      </c>
      <c r="K152" s="7" t="s">
        <v>606</v>
      </c>
      <c r="L152" s="14" t="s">
        <v>607</v>
      </c>
      <c r="M152" s="14" t="s">
        <v>607</v>
      </c>
      <c r="N152" s="7" t="s">
        <v>607</v>
      </c>
      <c r="O152" s="7" t="s">
        <v>608</v>
      </c>
      <c r="P152" s="7" t="s">
        <v>606</v>
      </c>
    </row>
    <row r="153" spans="1:16" ht="409.6" x14ac:dyDescent="0.3">
      <c r="A153" s="17"/>
      <c r="B153" s="6">
        <v>58</v>
      </c>
      <c r="C153" s="7" t="s">
        <v>609</v>
      </c>
      <c r="D153" s="7" t="s">
        <v>610</v>
      </c>
      <c r="E153" s="45" t="s">
        <v>611</v>
      </c>
      <c r="F153" s="7" t="b">
        <v>1</v>
      </c>
      <c r="G153" s="7"/>
      <c r="H153" s="7" t="s">
        <v>612</v>
      </c>
      <c r="I153" s="7" t="s">
        <v>313</v>
      </c>
      <c r="J153" s="7" t="s">
        <v>233</v>
      </c>
      <c r="K153" s="7" t="s">
        <v>613</v>
      </c>
      <c r="L153" s="51" t="s">
        <v>233</v>
      </c>
      <c r="M153" s="7" t="s">
        <v>613</v>
      </c>
      <c r="N153" s="7" t="s">
        <v>613</v>
      </c>
      <c r="O153" s="7" t="s">
        <v>613</v>
      </c>
      <c r="P153" s="7" t="s">
        <v>613</v>
      </c>
    </row>
    <row r="154" spans="1:16" ht="259.2" x14ac:dyDescent="0.3">
      <c r="A154" s="17"/>
      <c r="B154" s="6">
        <v>59</v>
      </c>
      <c r="C154" s="7" t="s">
        <v>614</v>
      </c>
      <c r="D154" s="7" t="s">
        <v>615</v>
      </c>
      <c r="E154" s="7" t="s">
        <v>616</v>
      </c>
      <c r="F154" s="7" t="b">
        <v>1</v>
      </c>
      <c r="G154" s="7"/>
      <c r="H154" s="7" t="s">
        <v>341</v>
      </c>
      <c r="I154" s="7" t="s">
        <v>233</v>
      </c>
      <c r="J154" s="7" t="s">
        <v>233</v>
      </c>
      <c r="K154" s="7" t="s">
        <v>617</v>
      </c>
      <c r="L154" s="7" t="s">
        <v>233</v>
      </c>
      <c r="M154" s="14" t="s">
        <v>618</v>
      </c>
      <c r="N154" s="7" t="s">
        <v>619</v>
      </c>
      <c r="O154" s="7" t="s">
        <v>620</v>
      </c>
      <c r="P154" s="7" t="s">
        <v>621</v>
      </c>
    </row>
    <row r="155" spans="1:16" ht="331.2" x14ac:dyDescent="0.3">
      <c r="A155" s="17"/>
      <c r="B155" s="6">
        <v>60</v>
      </c>
      <c r="C155" s="7" t="s">
        <v>622</v>
      </c>
      <c r="D155" s="7" t="s">
        <v>615</v>
      </c>
      <c r="E155" s="45" t="s">
        <v>623</v>
      </c>
      <c r="F155" s="7" t="b">
        <v>1</v>
      </c>
      <c r="G155" s="7"/>
      <c r="H155" s="7" t="s">
        <v>73</v>
      </c>
      <c r="I155" s="7" t="s">
        <v>313</v>
      </c>
      <c r="J155" s="7" t="s">
        <v>233</v>
      </c>
      <c r="K155" s="7" t="s">
        <v>73</v>
      </c>
      <c r="L155" s="7" t="s">
        <v>233</v>
      </c>
      <c r="M155" s="14" t="s">
        <v>73</v>
      </c>
      <c r="N155" s="7" t="s">
        <v>73</v>
      </c>
      <c r="O155" s="7" t="s">
        <v>73</v>
      </c>
      <c r="P155" s="7" t="s">
        <v>73</v>
      </c>
    </row>
    <row r="156" spans="1:16" ht="331.2" x14ac:dyDescent="0.3">
      <c r="A156" s="17"/>
      <c r="B156" s="6">
        <v>61</v>
      </c>
      <c r="C156" s="7" t="s">
        <v>624</v>
      </c>
      <c r="D156" s="7" t="s">
        <v>615</v>
      </c>
      <c r="E156" s="45" t="s">
        <v>623</v>
      </c>
      <c r="F156" s="7" t="b">
        <v>1</v>
      </c>
      <c r="G156" s="7"/>
      <c r="H156" s="7" t="s">
        <v>73</v>
      </c>
      <c r="I156" s="7" t="s">
        <v>313</v>
      </c>
      <c r="J156" s="7" t="s">
        <v>233</v>
      </c>
      <c r="K156" s="7" t="s">
        <v>73</v>
      </c>
      <c r="L156" s="7" t="s">
        <v>233</v>
      </c>
      <c r="M156" s="14" t="s">
        <v>73</v>
      </c>
      <c r="N156" s="7" t="s">
        <v>73</v>
      </c>
      <c r="O156" s="7" t="s">
        <v>73</v>
      </c>
      <c r="P156" s="7" t="s">
        <v>73</v>
      </c>
    </row>
    <row r="157" spans="1:16" ht="331.2" x14ac:dyDescent="0.3">
      <c r="A157" s="17"/>
      <c r="B157" s="6">
        <v>62</v>
      </c>
      <c r="C157" s="7" t="s">
        <v>625</v>
      </c>
      <c r="D157" s="7" t="s">
        <v>615</v>
      </c>
      <c r="E157" s="45" t="s">
        <v>623</v>
      </c>
      <c r="F157" s="7" t="b">
        <v>1</v>
      </c>
      <c r="G157" s="7"/>
      <c r="H157" s="7" t="s">
        <v>73</v>
      </c>
      <c r="I157" s="7" t="s">
        <v>313</v>
      </c>
      <c r="J157" s="7" t="s">
        <v>233</v>
      </c>
      <c r="K157" s="7" t="s">
        <v>73</v>
      </c>
      <c r="L157" s="7" t="s">
        <v>233</v>
      </c>
      <c r="M157" s="14" t="s">
        <v>73</v>
      </c>
      <c r="N157" s="7" t="s">
        <v>73</v>
      </c>
      <c r="O157" s="7" t="s">
        <v>73</v>
      </c>
      <c r="P157" s="7" t="s">
        <v>73</v>
      </c>
    </row>
    <row r="158" spans="1:16" ht="409.6" x14ac:dyDescent="0.3">
      <c r="A158" s="17"/>
      <c r="B158" s="6">
        <v>63</v>
      </c>
      <c r="C158" s="7" t="s">
        <v>626</v>
      </c>
      <c r="D158" s="7" t="s">
        <v>257</v>
      </c>
      <c r="E158" s="45" t="s">
        <v>627</v>
      </c>
      <c r="F158" s="7" t="b">
        <v>1</v>
      </c>
      <c r="G158" s="7"/>
      <c r="H158" s="25" t="s">
        <v>259</v>
      </c>
      <c r="I158" s="7" t="s">
        <v>259</v>
      </c>
      <c r="J158" s="7" t="s">
        <v>259</v>
      </c>
      <c r="K158" s="7" t="s">
        <v>259</v>
      </c>
      <c r="L158" s="25" t="s">
        <v>259</v>
      </c>
      <c r="M158" s="7" t="s">
        <v>259</v>
      </c>
      <c r="N158" s="7" t="s">
        <v>259</v>
      </c>
      <c r="O158" s="7" t="s">
        <v>259</v>
      </c>
      <c r="P158" s="7" t="s">
        <v>259</v>
      </c>
    </row>
    <row r="159" spans="1:16" ht="158.4" x14ac:dyDescent="0.3">
      <c r="A159" s="17"/>
      <c r="B159" s="6">
        <v>64</v>
      </c>
      <c r="C159" s="7" t="s">
        <v>628</v>
      </c>
      <c r="D159" s="7" t="s">
        <v>629</v>
      </c>
      <c r="E159" s="45" t="s">
        <v>630</v>
      </c>
      <c r="F159" s="7" t="b">
        <v>1</v>
      </c>
      <c r="G159" s="7"/>
      <c r="H159" s="7" t="s">
        <v>631</v>
      </c>
      <c r="I159" s="7" t="s">
        <v>631</v>
      </c>
      <c r="J159" s="7" t="s">
        <v>631</v>
      </c>
      <c r="K159" s="25" t="s">
        <v>632</v>
      </c>
      <c r="L159" s="14" t="s">
        <v>631</v>
      </c>
      <c r="M159" s="25" t="s">
        <v>632</v>
      </c>
      <c r="N159" s="7" t="s">
        <v>632</v>
      </c>
      <c r="O159" s="25" t="s">
        <v>632</v>
      </c>
      <c r="P159" s="7" t="s">
        <v>632</v>
      </c>
    </row>
    <row r="160" spans="1:16" ht="259.2" x14ac:dyDescent="0.3">
      <c r="A160" s="17"/>
      <c r="B160" s="6">
        <v>65</v>
      </c>
      <c r="C160" s="7" t="s">
        <v>633</v>
      </c>
      <c r="D160" s="7" t="s">
        <v>183</v>
      </c>
      <c r="E160" s="7" t="s">
        <v>634</v>
      </c>
      <c r="F160" s="7" t="b">
        <v>1</v>
      </c>
      <c r="G160" s="7"/>
      <c r="H160" s="7" t="s">
        <v>635</v>
      </c>
      <c r="I160" s="25" t="s">
        <v>313</v>
      </c>
      <c r="J160" s="7" t="s">
        <v>636</v>
      </c>
      <c r="K160" s="7" t="s">
        <v>552</v>
      </c>
      <c r="L160" s="14" t="s">
        <v>636</v>
      </c>
      <c r="M160" s="14" t="s">
        <v>554</v>
      </c>
      <c r="N160" s="7" t="s">
        <v>555</v>
      </c>
      <c r="O160" s="7" t="s">
        <v>552</v>
      </c>
      <c r="P160" s="7" t="s">
        <v>556</v>
      </c>
    </row>
    <row r="161" spans="1:16" ht="409.6" x14ac:dyDescent="0.3">
      <c r="A161" s="17"/>
      <c r="B161" s="6">
        <v>66</v>
      </c>
      <c r="C161" s="7" t="s">
        <v>637</v>
      </c>
      <c r="D161" s="7" t="s">
        <v>327</v>
      </c>
      <c r="E161" s="7" t="s">
        <v>57</v>
      </c>
      <c r="F161" s="7" t="b">
        <v>1</v>
      </c>
      <c r="G161" s="52"/>
      <c r="H161" s="52">
        <v>45818</v>
      </c>
      <c r="I161" s="53">
        <v>45889</v>
      </c>
      <c r="J161" s="53">
        <v>45875</v>
      </c>
      <c r="K161" s="52">
        <v>45922</v>
      </c>
      <c r="L161" s="29" t="s">
        <v>329</v>
      </c>
      <c r="M161" s="14" t="s">
        <v>638</v>
      </c>
      <c r="N161" s="7" t="s">
        <v>331</v>
      </c>
      <c r="O161" s="7" t="s">
        <v>332</v>
      </c>
      <c r="P161" s="7" t="s">
        <v>333</v>
      </c>
    </row>
    <row r="162" spans="1:16" ht="201.6" x14ac:dyDescent="0.3">
      <c r="A162" s="17"/>
      <c r="B162" s="6">
        <v>67</v>
      </c>
      <c r="C162" s="7" t="s">
        <v>639</v>
      </c>
      <c r="D162" s="7" t="s">
        <v>183</v>
      </c>
      <c r="E162" s="7" t="s">
        <v>640</v>
      </c>
      <c r="F162" s="7" t="b">
        <v>0</v>
      </c>
      <c r="G162" s="7"/>
      <c r="H162" s="51" t="s">
        <v>233</v>
      </c>
      <c r="I162" s="25" t="s">
        <v>233</v>
      </c>
      <c r="J162" s="25" t="s">
        <v>233</v>
      </c>
      <c r="K162" s="25" t="s">
        <v>233</v>
      </c>
      <c r="L162" s="25" t="s">
        <v>233</v>
      </c>
      <c r="M162" s="25" t="s">
        <v>233</v>
      </c>
      <c r="N162" s="25" t="s">
        <v>233</v>
      </c>
      <c r="O162" s="25" t="s">
        <v>233</v>
      </c>
      <c r="P162" s="25" t="s">
        <v>233</v>
      </c>
    </row>
    <row r="163" spans="1:16" ht="273.60000000000002" x14ac:dyDescent="0.3">
      <c r="A163" s="17"/>
      <c r="B163" s="6">
        <v>68</v>
      </c>
      <c r="C163" s="54" t="s">
        <v>641</v>
      </c>
      <c r="D163" s="7" t="s">
        <v>228</v>
      </c>
      <c r="E163" s="45" t="s">
        <v>642</v>
      </c>
      <c r="F163" s="7" t="b">
        <v>1</v>
      </c>
      <c r="G163" s="7"/>
      <c r="H163" s="8" t="s">
        <v>163</v>
      </c>
      <c r="I163" s="8" t="s">
        <v>163</v>
      </c>
      <c r="J163" s="8" t="s">
        <v>163</v>
      </c>
      <c r="K163" s="8" t="s">
        <v>163</v>
      </c>
      <c r="L163" s="8" t="s">
        <v>163</v>
      </c>
      <c r="M163" s="8" t="s">
        <v>643</v>
      </c>
      <c r="N163" s="8" t="s">
        <v>164</v>
      </c>
      <c r="O163" s="8" t="s">
        <v>164</v>
      </c>
      <c r="P163" s="8" t="s">
        <v>164</v>
      </c>
    </row>
    <row r="164" spans="1:16" ht="230.4" x14ac:dyDescent="0.3">
      <c r="A164" s="17"/>
      <c r="B164" s="6">
        <v>69</v>
      </c>
      <c r="C164" s="54" t="s">
        <v>644</v>
      </c>
      <c r="D164" s="7" t="s">
        <v>228</v>
      </c>
      <c r="E164" s="7" t="s">
        <v>645</v>
      </c>
      <c r="F164" s="7" t="b">
        <v>1</v>
      </c>
      <c r="G164" s="7"/>
      <c r="H164" s="8" t="s">
        <v>163</v>
      </c>
      <c r="I164" s="8" t="s">
        <v>163</v>
      </c>
      <c r="J164" s="8" t="s">
        <v>163</v>
      </c>
      <c r="K164" s="8" t="s">
        <v>163</v>
      </c>
      <c r="L164" s="9" t="s">
        <v>163</v>
      </c>
      <c r="M164" s="9" t="s">
        <v>163</v>
      </c>
      <c r="N164" s="8" t="s">
        <v>164</v>
      </c>
      <c r="O164" s="8" t="s">
        <v>164</v>
      </c>
      <c r="P164" s="8" t="s">
        <v>164</v>
      </c>
    </row>
    <row r="165" spans="1:16" ht="316.8" x14ac:dyDescent="0.3">
      <c r="A165" s="17"/>
      <c r="B165" s="6">
        <v>70</v>
      </c>
      <c r="C165" s="7" t="s">
        <v>249</v>
      </c>
      <c r="D165" s="7" t="s">
        <v>190</v>
      </c>
      <c r="E165" s="45" t="s">
        <v>646</v>
      </c>
      <c r="F165" s="7" t="b">
        <v>1</v>
      </c>
      <c r="G165" s="7"/>
      <c r="H165" s="16" t="s">
        <v>647</v>
      </c>
      <c r="I165" s="43" t="s">
        <v>648</v>
      </c>
      <c r="J165" s="16" t="s">
        <v>193</v>
      </c>
      <c r="K165" s="7">
        <v>765432</v>
      </c>
      <c r="L165" s="21" t="s">
        <v>194</v>
      </c>
      <c r="M165" s="14">
        <v>8910112</v>
      </c>
      <c r="N165" s="7">
        <v>789102</v>
      </c>
      <c r="O165" s="7">
        <v>234567</v>
      </c>
      <c r="P165" s="25">
        <v>123456</v>
      </c>
    </row>
    <row r="166" spans="1:16" ht="409.6" x14ac:dyDescent="0.3">
      <c r="A166" s="17"/>
      <c r="B166" s="6">
        <v>71</v>
      </c>
      <c r="C166" s="7" t="s">
        <v>649</v>
      </c>
      <c r="D166" s="7" t="s">
        <v>190</v>
      </c>
      <c r="E166" s="45" t="s">
        <v>650</v>
      </c>
      <c r="F166" s="7" t="b">
        <v>1</v>
      </c>
      <c r="G166" s="7"/>
      <c r="H166" s="25">
        <v>886</v>
      </c>
      <c r="I166" s="25">
        <v>886</v>
      </c>
      <c r="J166" s="25">
        <v>886</v>
      </c>
      <c r="K166" s="25">
        <v>886</v>
      </c>
      <c r="L166" s="14">
        <v>886</v>
      </c>
      <c r="M166" s="29">
        <v>886</v>
      </c>
      <c r="N166" s="7">
        <v>886</v>
      </c>
      <c r="O166" s="7">
        <v>886</v>
      </c>
      <c r="P166" s="7">
        <v>886</v>
      </c>
    </row>
    <row r="167" spans="1:16" ht="409.6" x14ac:dyDescent="0.3">
      <c r="A167" s="17"/>
      <c r="B167" s="6">
        <v>72</v>
      </c>
      <c r="C167" s="7" t="s">
        <v>651</v>
      </c>
      <c r="D167" s="7" t="s">
        <v>652</v>
      </c>
      <c r="E167" s="45" t="s">
        <v>653</v>
      </c>
      <c r="F167" s="7" t="b">
        <v>1</v>
      </c>
      <c r="G167" s="7"/>
      <c r="H167" s="7" t="s">
        <v>654</v>
      </c>
      <c r="I167" s="7" t="s">
        <v>313</v>
      </c>
      <c r="J167" s="7" t="s">
        <v>654</v>
      </c>
      <c r="K167" s="7" t="s">
        <v>654</v>
      </c>
      <c r="L167" s="42" t="s">
        <v>655</v>
      </c>
      <c r="M167" s="7" t="s">
        <v>654</v>
      </c>
      <c r="N167" s="7" t="s">
        <v>654</v>
      </c>
      <c r="O167" s="7" t="s">
        <v>654</v>
      </c>
      <c r="P167" s="7" t="s">
        <v>654</v>
      </c>
    </row>
    <row r="168" spans="1:16" ht="316.8" x14ac:dyDescent="0.3">
      <c r="A168" s="17"/>
      <c r="B168" s="6">
        <v>73</v>
      </c>
      <c r="C168" s="7" t="s">
        <v>656</v>
      </c>
      <c r="D168" s="7" t="s">
        <v>657</v>
      </c>
      <c r="E168" s="45" t="s">
        <v>658</v>
      </c>
      <c r="F168" s="7" t="b">
        <v>1</v>
      </c>
      <c r="G168" s="7"/>
      <c r="H168" s="7" t="s">
        <v>259</v>
      </c>
      <c r="I168" s="7" t="s">
        <v>313</v>
      </c>
      <c r="J168" s="7" t="s">
        <v>259</v>
      </c>
      <c r="K168" s="7" t="s">
        <v>259</v>
      </c>
      <c r="L168" s="14" t="s">
        <v>259</v>
      </c>
      <c r="M168" s="7" t="s">
        <v>259</v>
      </c>
      <c r="N168" s="7" t="s">
        <v>259</v>
      </c>
      <c r="O168" s="7" t="s">
        <v>259</v>
      </c>
      <c r="P168" s="7" t="s">
        <v>259</v>
      </c>
    </row>
    <row r="169" spans="1:16" ht="388.8" x14ac:dyDescent="0.3">
      <c r="A169" s="17"/>
      <c r="B169" s="6">
        <v>74</v>
      </c>
      <c r="C169" s="7" t="s">
        <v>659</v>
      </c>
      <c r="D169" s="7" t="s">
        <v>660</v>
      </c>
      <c r="E169" s="45" t="s">
        <v>661</v>
      </c>
      <c r="F169" s="7" t="b">
        <v>1</v>
      </c>
      <c r="G169" s="7"/>
      <c r="H169" s="25" t="s">
        <v>662</v>
      </c>
      <c r="I169" s="25" t="s">
        <v>313</v>
      </c>
      <c r="J169" s="25" t="s">
        <v>233</v>
      </c>
      <c r="K169" s="7" t="s">
        <v>663</v>
      </c>
      <c r="L169" s="51" t="s">
        <v>341</v>
      </c>
      <c r="M169" s="29" t="s">
        <v>662</v>
      </c>
      <c r="N169" s="7" t="s">
        <v>663</v>
      </c>
      <c r="O169" s="7" t="s">
        <v>663</v>
      </c>
      <c r="P169" s="7" t="s">
        <v>663</v>
      </c>
    </row>
    <row r="170" spans="1:16" ht="409.6" x14ac:dyDescent="0.3">
      <c r="A170" s="17"/>
      <c r="B170" s="6">
        <v>75</v>
      </c>
      <c r="C170" s="7" t="s">
        <v>664</v>
      </c>
      <c r="D170" s="7" t="s">
        <v>665</v>
      </c>
      <c r="E170" s="45" t="s">
        <v>666</v>
      </c>
      <c r="F170" s="7" t="b">
        <v>1</v>
      </c>
      <c r="G170" s="7"/>
      <c r="H170" s="25" t="s">
        <v>341</v>
      </c>
      <c r="I170" s="25" t="s">
        <v>313</v>
      </c>
      <c r="J170" s="25" t="s">
        <v>341</v>
      </c>
      <c r="K170" s="25" t="s">
        <v>341</v>
      </c>
      <c r="L170" s="51" t="s">
        <v>341</v>
      </c>
      <c r="M170" s="25" t="s">
        <v>341</v>
      </c>
      <c r="N170" s="25" t="s">
        <v>341</v>
      </c>
      <c r="O170" s="25" t="s">
        <v>233</v>
      </c>
      <c r="P170" s="25" t="s">
        <v>341</v>
      </c>
    </row>
    <row r="171" spans="1:16" ht="388.8" x14ac:dyDescent="0.3">
      <c r="A171" s="17"/>
      <c r="B171" s="6">
        <v>76</v>
      </c>
      <c r="C171" s="7" t="s">
        <v>513</v>
      </c>
      <c r="D171" s="7" t="s">
        <v>183</v>
      </c>
      <c r="E171" s="45" t="s">
        <v>667</v>
      </c>
      <c r="F171" s="7" t="b">
        <v>1</v>
      </c>
      <c r="G171" s="7"/>
      <c r="H171" s="25" t="s">
        <v>511</v>
      </c>
      <c r="I171" s="7" t="s">
        <v>313</v>
      </c>
      <c r="J171" s="7" t="s">
        <v>668</v>
      </c>
      <c r="K171" s="7" t="s">
        <v>669</v>
      </c>
      <c r="L171" s="33" t="s">
        <v>341</v>
      </c>
      <c r="M171" s="14" t="s">
        <v>514</v>
      </c>
      <c r="N171" s="7" t="s">
        <v>670</v>
      </c>
      <c r="O171" s="7" t="s">
        <v>671</v>
      </c>
      <c r="P171" s="7" t="s">
        <v>670</v>
      </c>
    </row>
    <row r="172" spans="1:16" ht="403.2" x14ac:dyDescent="0.3">
      <c r="A172" s="17"/>
      <c r="B172" s="6">
        <v>77</v>
      </c>
      <c r="C172" s="7" t="s">
        <v>672</v>
      </c>
      <c r="D172" s="7" t="s">
        <v>183</v>
      </c>
      <c r="E172" s="45" t="s">
        <v>673</v>
      </c>
      <c r="F172" s="7" t="b">
        <v>1</v>
      </c>
      <c r="G172" s="7"/>
      <c r="H172" s="7" t="s">
        <v>674</v>
      </c>
      <c r="I172" s="7" t="s">
        <v>313</v>
      </c>
      <c r="J172" s="7" t="s">
        <v>675</v>
      </c>
      <c r="K172" s="25" t="s">
        <v>675</v>
      </c>
      <c r="L172" s="7" t="s">
        <v>675</v>
      </c>
      <c r="M172" s="7" t="s">
        <v>675</v>
      </c>
      <c r="N172" s="7" t="s">
        <v>675</v>
      </c>
      <c r="O172" s="7" t="s">
        <v>675</v>
      </c>
      <c r="P172" s="7" t="s">
        <v>675</v>
      </c>
    </row>
    <row r="173" spans="1:16" ht="259.2" x14ac:dyDescent="0.3">
      <c r="A173" s="17"/>
      <c r="B173" s="6">
        <v>78</v>
      </c>
      <c r="C173" s="7" t="s">
        <v>676</v>
      </c>
      <c r="D173" s="7" t="s">
        <v>677</v>
      </c>
      <c r="E173" s="45" t="s">
        <v>678</v>
      </c>
      <c r="F173" s="7" t="b">
        <v>1</v>
      </c>
      <c r="G173" s="7"/>
      <c r="H173" s="7" t="s">
        <v>679</v>
      </c>
      <c r="I173" s="7" t="s">
        <v>680</v>
      </c>
      <c r="J173" s="7" t="s">
        <v>681</v>
      </c>
      <c r="K173" s="25" t="s">
        <v>681</v>
      </c>
      <c r="L173" s="7" t="s">
        <v>681</v>
      </c>
      <c r="M173" s="14" t="s">
        <v>681</v>
      </c>
      <c r="N173" s="25" t="s">
        <v>682</v>
      </c>
      <c r="O173" s="25" t="s">
        <v>683</v>
      </c>
      <c r="P173" s="7" t="s">
        <v>684</v>
      </c>
    </row>
    <row r="174" spans="1:16" ht="345.6" x14ac:dyDescent="0.3">
      <c r="A174" s="17"/>
      <c r="B174" s="6">
        <v>79</v>
      </c>
      <c r="C174" s="7" t="s">
        <v>685</v>
      </c>
      <c r="D174" s="7" t="s">
        <v>183</v>
      </c>
      <c r="E174" s="45" t="s">
        <v>686</v>
      </c>
      <c r="F174" s="7" t="b">
        <v>1</v>
      </c>
      <c r="G174" s="7"/>
      <c r="H174" s="7" t="s">
        <v>341</v>
      </c>
      <c r="I174" s="25" t="s">
        <v>313</v>
      </c>
      <c r="J174" s="7" t="s">
        <v>687</v>
      </c>
      <c r="K174" s="7">
        <v>7511</v>
      </c>
      <c r="L174" s="14" t="s">
        <v>201</v>
      </c>
      <c r="M174" s="21" t="s">
        <v>688</v>
      </c>
      <c r="N174" s="7" t="s">
        <v>233</v>
      </c>
      <c r="O174" s="7" t="s">
        <v>233</v>
      </c>
      <c r="P174" s="7" t="s">
        <v>233</v>
      </c>
    </row>
    <row r="175" spans="1:16" ht="345.6" x14ac:dyDescent="0.3">
      <c r="A175" s="17"/>
      <c r="B175" s="6">
        <v>80</v>
      </c>
      <c r="C175" s="7" t="s">
        <v>689</v>
      </c>
      <c r="D175" s="7" t="s">
        <v>183</v>
      </c>
      <c r="E175" s="45" t="s">
        <v>690</v>
      </c>
      <c r="F175" s="7" t="b">
        <v>1</v>
      </c>
      <c r="G175" s="7"/>
      <c r="H175" s="7" t="s">
        <v>341</v>
      </c>
      <c r="I175" s="25" t="s">
        <v>313</v>
      </c>
      <c r="J175" s="7" t="s">
        <v>233</v>
      </c>
      <c r="K175" s="7" t="s">
        <v>233</v>
      </c>
      <c r="L175" s="7" t="s">
        <v>233</v>
      </c>
      <c r="M175" s="7" t="s">
        <v>233</v>
      </c>
      <c r="N175" s="7" t="s">
        <v>233</v>
      </c>
      <c r="O175" s="25" t="s">
        <v>233</v>
      </c>
      <c r="P175" s="7" t="s">
        <v>233</v>
      </c>
    </row>
    <row r="176" spans="1:16" ht="345.6" x14ac:dyDescent="0.3">
      <c r="A176" s="17"/>
      <c r="B176" s="6">
        <v>81</v>
      </c>
      <c r="C176" s="7" t="s">
        <v>691</v>
      </c>
      <c r="D176" s="7" t="s">
        <v>692</v>
      </c>
      <c r="E176" s="45" t="s">
        <v>693</v>
      </c>
      <c r="F176" s="7" t="b">
        <v>1</v>
      </c>
      <c r="G176" s="7"/>
      <c r="H176" s="25" t="s">
        <v>341</v>
      </c>
      <c r="I176" s="25" t="s">
        <v>313</v>
      </c>
      <c r="J176" s="7" t="s">
        <v>233</v>
      </c>
      <c r="K176" s="7" t="s">
        <v>694</v>
      </c>
      <c r="L176" s="7" t="s">
        <v>233</v>
      </c>
      <c r="M176" s="7" t="s">
        <v>694</v>
      </c>
      <c r="N176" s="7" t="s">
        <v>694</v>
      </c>
      <c r="O176" s="25" t="s">
        <v>694</v>
      </c>
      <c r="P176" s="7" t="s">
        <v>694</v>
      </c>
    </row>
    <row r="177" spans="1:16" ht="345.6" x14ac:dyDescent="0.3">
      <c r="A177" s="17"/>
      <c r="B177" s="6">
        <v>82</v>
      </c>
      <c r="C177" s="7" t="s">
        <v>695</v>
      </c>
      <c r="D177" s="7" t="s">
        <v>696</v>
      </c>
      <c r="E177" s="45" t="s">
        <v>693</v>
      </c>
      <c r="F177" s="7" t="b">
        <v>1</v>
      </c>
      <c r="G177" s="7"/>
      <c r="H177" s="25" t="s">
        <v>341</v>
      </c>
      <c r="I177" s="7" t="s">
        <v>313</v>
      </c>
      <c r="J177" s="7" t="s">
        <v>233</v>
      </c>
      <c r="K177" s="7" t="s">
        <v>233</v>
      </c>
      <c r="L177" s="7" t="s">
        <v>233</v>
      </c>
      <c r="M177" s="7" t="s">
        <v>233</v>
      </c>
      <c r="N177" s="25" t="s">
        <v>233</v>
      </c>
      <c r="O177" s="7" t="s">
        <v>233</v>
      </c>
      <c r="P177" s="7" t="s">
        <v>233</v>
      </c>
    </row>
    <row r="178" spans="1:16" ht="409.6" x14ac:dyDescent="0.3">
      <c r="A178" s="17"/>
      <c r="B178" s="6">
        <v>83</v>
      </c>
      <c r="C178" s="7" t="s">
        <v>697</v>
      </c>
      <c r="D178" s="7" t="s">
        <v>183</v>
      </c>
      <c r="E178" s="45" t="s">
        <v>698</v>
      </c>
      <c r="F178" s="7" t="b">
        <v>1</v>
      </c>
      <c r="G178" s="7"/>
      <c r="H178" s="7" t="s">
        <v>341</v>
      </c>
      <c r="I178" s="7" t="s">
        <v>313</v>
      </c>
      <c r="J178" s="7" t="s">
        <v>233</v>
      </c>
      <c r="K178" s="7" t="s">
        <v>233</v>
      </c>
      <c r="L178" s="7" t="s">
        <v>233</v>
      </c>
      <c r="M178" s="7" t="s">
        <v>233</v>
      </c>
      <c r="N178" s="7" t="s">
        <v>699</v>
      </c>
      <c r="O178" s="7" t="s">
        <v>700</v>
      </c>
      <c r="P178" s="7" t="s">
        <v>233</v>
      </c>
    </row>
    <row r="179" spans="1:16" ht="201.6" x14ac:dyDescent="0.3">
      <c r="A179" s="17"/>
      <c r="B179" s="6">
        <v>84</v>
      </c>
      <c r="C179" s="7" t="s">
        <v>701</v>
      </c>
      <c r="D179" s="7" t="s">
        <v>183</v>
      </c>
      <c r="E179" s="7" t="s">
        <v>640</v>
      </c>
      <c r="F179" s="7" t="b">
        <v>0</v>
      </c>
      <c r="G179" s="7"/>
      <c r="H179" s="25" t="s">
        <v>341</v>
      </c>
      <c r="I179" s="25" t="s">
        <v>341</v>
      </c>
      <c r="J179" s="25" t="s">
        <v>341</v>
      </c>
      <c r="K179" s="7" t="s">
        <v>702</v>
      </c>
      <c r="L179" s="51" t="s">
        <v>233</v>
      </c>
      <c r="M179" s="7" t="s">
        <v>703</v>
      </c>
      <c r="N179" s="7" t="s">
        <v>704</v>
      </c>
      <c r="O179" s="7" t="s">
        <v>705</v>
      </c>
      <c r="P179" s="7" t="s">
        <v>706</v>
      </c>
    </row>
    <row r="180" spans="1:16" ht="409.6" x14ac:dyDescent="0.3">
      <c r="A180" s="17"/>
      <c r="B180" s="6">
        <v>85</v>
      </c>
      <c r="C180" s="7" t="s">
        <v>707</v>
      </c>
      <c r="D180" s="7" t="s">
        <v>56</v>
      </c>
      <c r="E180" s="7" t="s">
        <v>708</v>
      </c>
      <c r="F180" s="7" t="b">
        <v>1</v>
      </c>
      <c r="G180" s="7"/>
      <c r="H180" s="7" t="s">
        <v>709</v>
      </c>
      <c r="I180" s="53">
        <v>45889</v>
      </c>
      <c r="J180" s="53">
        <v>45816</v>
      </c>
      <c r="K180" s="52">
        <v>45922</v>
      </c>
      <c r="L180" s="14" t="s">
        <v>710</v>
      </c>
      <c r="M180" s="14" t="s">
        <v>711</v>
      </c>
      <c r="N180" s="7" t="s">
        <v>712</v>
      </c>
      <c r="O180" s="7" t="s">
        <v>713</v>
      </c>
      <c r="P180" s="25" t="s">
        <v>714</v>
      </c>
    </row>
    <row r="181" spans="1:16" ht="201.6" x14ac:dyDescent="0.3">
      <c r="A181" s="17"/>
      <c r="B181" s="6">
        <v>86</v>
      </c>
      <c r="C181" s="7" t="s">
        <v>715</v>
      </c>
      <c r="D181" s="7" t="s">
        <v>183</v>
      </c>
      <c r="E181" s="7" t="s">
        <v>640</v>
      </c>
      <c r="F181" s="7" t="b">
        <v>0</v>
      </c>
      <c r="G181" s="7"/>
      <c r="H181" s="25" t="s">
        <v>341</v>
      </c>
      <c r="I181" s="25" t="s">
        <v>341</v>
      </c>
      <c r="J181" s="25" t="s">
        <v>341</v>
      </c>
      <c r="K181" s="7" t="s">
        <v>716</v>
      </c>
      <c r="L181" s="25" t="s">
        <v>233</v>
      </c>
      <c r="M181" s="25" t="s">
        <v>717</v>
      </c>
      <c r="N181" s="7" t="s">
        <v>423</v>
      </c>
      <c r="O181" s="7" t="s">
        <v>718</v>
      </c>
      <c r="P181" s="25" t="s">
        <v>719</v>
      </c>
    </row>
    <row r="182" spans="1:16" ht="409.6" x14ac:dyDescent="0.3">
      <c r="A182" s="17"/>
      <c r="B182" s="6">
        <v>87</v>
      </c>
      <c r="C182" s="7" t="s">
        <v>720</v>
      </c>
      <c r="D182" s="7" t="s">
        <v>56</v>
      </c>
      <c r="E182" s="7" t="s">
        <v>721</v>
      </c>
      <c r="F182" s="7" t="b">
        <v>1</v>
      </c>
      <c r="G182" s="7"/>
      <c r="H182" s="7" t="s">
        <v>709</v>
      </c>
      <c r="I182" s="53" t="s">
        <v>722</v>
      </c>
      <c r="J182" s="25" t="s">
        <v>723</v>
      </c>
      <c r="K182" s="52">
        <v>45922</v>
      </c>
      <c r="L182" s="14" t="s">
        <v>710</v>
      </c>
      <c r="M182" s="55" t="s">
        <v>724</v>
      </c>
      <c r="N182" s="15" t="s">
        <v>725</v>
      </c>
      <c r="O182" s="15" t="s">
        <v>726</v>
      </c>
      <c r="P182" s="56" t="s">
        <v>727</v>
      </c>
    </row>
    <row r="183" spans="1:16" ht="345.6" x14ac:dyDescent="0.3">
      <c r="A183" s="17"/>
      <c r="B183" s="6">
        <v>88</v>
      </c>
      <c r="C183" s="7" t="s">
        <v>728</v>
      </c>
      <c r="D183" s="7" t="s">
        <v>729</v>
      </c>
      <c r="E183" s="45" t="s">
        <v>730</v>
      </c>
      <c r="F183" s="7" t="b">
        <v>1</v>
      </c>
      <c r="G183" s="7"/>
      <c r="H183" s="7" t="s">
        <v>631</v>
      </c>
      <c r="I183" s="7" t="s">
        <v>631</v>
      </c>
      <c r="J183" s="7" t="s">
        <v>631</v>
      </c>
      <c r="K183" s="25" t="s">
        <v>233</v>
      </c>
      <c r="L183" s="29" t="s">
        <v>631</v>
      </c>
      <c r="M183" s="25" t="s">
        <v>233</v>
      </c>
      <c r="N183" s="7" t="s">
        <v>233</v>
      </c>
      <c r="O183" s="7" t="s">
        <v>631</v>
      </c>
      <c r="P183" s="25" t="s">
        <v>233</v>
      </c>
    </row>
    <row r="184" spans="1:16" ht="244.8" x14ac:dyDescent="0.3">
      <c r="A184" s="17"/>
      <c r="B184" s="6">
        <v>89</v>
      </c>
      <c r="C184" s="7" t="s">
        <v>731</v>
      </c>
      <c r="D184" s="7" t="s">
        <v>228</v>
      </c>
      <c r="E184" s="7" t="s">
        <v>301</v>
      </c>
      <c r="F184" s="7" t="b">
        <v>1</v>
      </c>
      <c r="G184" s="7"/>
      <c r="H184" s="8" t="s">
        <v>163</v>
      </c>
      <c r="I184" s="8" t="s">
        <v>163</v>
      </c>
      <c r="J184" s="57" t="s">
        <v>163</v>
      </c>
      <c r="K184" s="23" t="s">
        <v>163</v>
      </c>
      <c r="L184" s="8" t="s">
        <v>163</v>
      </c>
      <c r="M184" s="23" t="s">
        <v>164</v>
      </c>
      <c r="N184" s="23" t="s">
        <v>164</v>
      </c>
      <c r="O184" s="25" t="s">
        <v>732</v>
      </c>
      <c r="P184" s="23" t="s">
        <v>164</v>
      </c>
    </row>
    <row r="185" spans="1:16" ht="244.8" x14ac:dyDescent="0.3">
      <c r="A185" s="17"/>
      <c r="B185" s="6">
        <v>90</v>
      </c>
      <c r="C185" s="7" t="s">
        <v>733</v>
      </c>
      <c r="D185" s="7" t="s">
        <v>228</v>
      </c>
      <c r="E185" s="7" t="s">
        <v>301</v>
      </c>
      <c r="F185" s="7" t="b">
        <v>1</v>
      </c>
      <c r="G185" s="7"/>
      <c r="H185" s="8" t="s">
        <v>163</v>
      </c>
      <c r="I185" s="8" t="s">
        <v>163</v>
      </c>
      <c r="J185" s="57" t="s">
        <v>163</v>
      </c>
      <c r="K185" s="23" t="s">
        <v>163</v>
      </c>
      <c r="L185" s="8" t="s">
        <v>163</v>
      </c>
      <c r="M185" s="23" t="s">
        <v>164</v>
      </c>
      <c r="N185" s="23" t="s">
        <v>164</v>
      </c>
      <c r="O185" s="25" t="s">
        <v>732</v>
      </c>
      <c r="P185" s="23" t="s">
        <v>164</v>
      </c>
    </row>
    <row r="186" spans="1:16" ht="100.8" x14ac:dyDescent="0.3">
      <c r="A186" s="17"/>
      <c r="B186" s="6">
        <v>91</v>
      </c>
      <c r="C186" s="7" t="s">
        <v>303</v>
      </c>
      <c r="D186" s="7" t="s">
        <v>235</v>
      </c>
      <c r="E186" s="8" t="s">
        <v>734</v>
      </c>
      <c r="F186" s="7" t="b">
        <v>1</v>
      </c>
      <c r="G186" s="7"/>
      <c r="H186" s="7" t="s">
        <v>170</v>
      </c>
      <c r="I186" s="25" t="s">
        <v>170</v>
      </c>
      <c r="J186" s="7" t="s">
        <v>170</v>
      </c>
      <c r="K186" s="7" t="s">
        <v>170</v>
      </c>
      <c r="L186" s="7" t="s">
        <v>170</v>
      </c>
      <c r="M186" s="7" t="s">
        <v>170</v>
      </c>
      <c r="N186" s="7" t="s">
        <v>170</v>
      </c>
      <c r="O186" s="7" t="s">
        <v>170</v>
      </c>
      <c r="P186" s="7" t="s">
        <v>170</v>
      </c>
    </row>
    <row r="187" spans="1:16" ht="100.8" x14ac:dyDescent="0.3">
      <c r="A187" s="17"/>
      <c r="B187" s="6">
        <v>92</v>
      </c>
      <c r="C187" s="7" t="s">
        <v>305</v>
      </c>
      <c r="D187" s="7" t="s">
        <v>235</v>
      </c>
      <c r="E187" s="8" t="s">
        <v>735</v>
      </c>
      <c r="F187" s="7" t="b">
        <v>1</v>
      </c>
      <c r="G187" s="7" t="s">
        <v>736</v>
      </c>
      <c r="H187" s="7" t="s">
        <v>171</v>
      </c>
      <c r="I187" s="25" t="s">
        <v>171</v>
      </c>
      <c r="J187" s="7" t="s">
        <v>170</v>
      </c>
      <c r="K187" s="25" t="s">
        <v>170</v>
      </c>
      <c r="L187" s="25" t="s">
        <v>170</v>
      </c>
      <c r="M187" s="25" t="s">
        <v>170</v>
      </c>
      <c r="N187" s="7" t="s">
        <v>170</v>
      </c>
      <c r="O187" s="7" t="s">
        <v>238</v>
      </c>
      <c r="P187" s="7" t="s">
        <v>238</v>
      </c>
    </row>
    <row r="188" spans="1:16" ht="86.4" x14ac:dyDescent="0.3">
      <c r="A188" s="17"/>
      <c r="B188" s="6">
        <v>93</v>
      </c>
      <c r="C188" s="7" t="s">
        <v>737</v>
      </c>
      <c r="D188" s="7" t="s">
        <v>235</v>
      </c>
      <c r="E188" s="8" t="s">
        <v>738</v>
      </c>
      <c r="F188" s="7" t="b">
        <v>1</v>
      </c>
      <c r="G188" s="7"/>
      <c r="H188" s="7" t="s">
        <v>170</v>
      </c>
      <c r="I188" s="7" t="s">
        <v>170</v>
      </c>
      <c r="J188" s="7" t="s">
        <v>170</v>
      </c>
      <c r="K188" s="7" t="s">
        <v>171</v>
      </c>
      <c r="L188" s="7" t="s">
        <v>170</v>
      </c>
      <c r="M188" s="7" t="s">
        <v>238</v>
      </c>
      <c r="N188" s="25" t="s">
        <v>238</v>
      </c>
      <c r="O188" s="7" t="s">
        <v>238</v>
      </c>
      <c r="P188" s="7" t="s">
        <v>238</v>
      </c>
    </row>
    <row r="189" spans="1:16" x14ac:dyDescent="0.3">
      <c r="A189" s="1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x14ac:dyDescent="0.3">
      <c r="A190" s="17"/>
      <c r="B190" s="6"/>
      <c r="C190" s="7" t="s">
        <v>172</v>
      </c>
      <c r="D190" s="7"/>
      <c r="E190" s="7"/>
      <c r="F190" s="7"/>
      <c r="G190" s="7"/>
      <c r="H190" s="7">
        <v>45</v>
      </c>
      <c r="I190" s="7">
        <v>46</v>
      </c>
      <c r="J190" s="7">
        <v>36</v>
      </c>
      <c r="K190" s="7">
        <v>34</v>
      </c>
      <c r="L190" s="7">
        <v>33</v>
      </c>
      <c r="M190" s="7">
        <v>33</v>
      </c>
      <c r="N190" s="7">
        <v>23</v>
      </c>
      <c r="O190" s="7">
        <v>27</v>
      </c>
      <c r="P190" s="7">
        <v>26</v>
      </c>
    </row>
    <row r="191" spans="1:16" ht="86.4" x14ac:dyDescent="0.3">
      <c r="A191" s="17"/>
      <c r="B191" s="6"/>
      <c r="C191" s="7" t="s">
        <v>173</v>
      </c>
      <c r="D191" s="7"/>
      <c r="E191" s="7"/>
      <c r="F191" s="7"/>
      <c r="G191" s="7"/>
      <c r="H191" s="7">
        <v>17</v>
      </c>
      <c r="I191" s="7">
        <v>7</v>
      </c>
      <c r="J191" s="7">
        <v>13</v>
      </c>
      <c r="K191" s="7">
        <v>11</v>
      </c>
      <c r="L191" s="7">
        <v>12</v>
      </c>
      <c r="M191" s="7">
        <v>13</v>
      </c>
      <c r="N191" s="7">
        <v>10</v>
      </c>
      <c r="O191" s="7">
        <v>11</v>
      </c>
      <c r="P191" s="7">
        <v>8</v>
      </c>
    </row>
    <row r="192" spans="1:16" x14ac:dyDescent="0.3">
      <c r="A192" s="17"/>
      <c r="B192" s="6"/>
      <c r="C192" s="14" t="s">
        <v>174</v>
      </c>
      <c r="D192" s="7"/>
      <c r="E192" s="7"/>
      <c r="F192" s="7"/>
      <c r="G192" s="7"/>
      <c r="H192" s="7">
        <v>28</v>
      </c>
      <c r="I192" s="7">
        <v>39</v>
      </c>
      <c r="J192" s="7">
        <v>23</v>
      </c>
      <c r="K192" s="7">
        <v>23</v>
      </c>
      <c r="L192" s="7">
        <v>11</v>
      </c>
      <c r="M192" s="7">
        <v>20</v>
      </c>
      <c r="N192" s="7">
        <v>13</v>
      </c>
      <c r="O192" s="7">
        <v>16</v>
      </c>
      <c r="P192" s="7">
        <v>18</v>
      </c>
    </row>
    <row r="193" spans="1:16" ht="43.2" x14ac:dyDescent="0.3">
      <c r="A193" s="12" t="s">
        <v>739</v>
      </c>
      <c r="B193" s="26" t="s">
        <v>1</v>
      </c>
      <c r="C193" s="26" t="s">
        <v>176</v>
      </c>
      <c r="D193" s="26" t="s">
        <v>3</v>
      </c>
      <c r="E193" s="26" t="s">
        <v>4</v>
      </c>
      <c r="F193" s="2" t="s">
        <v>5</v>
      </c>
      <c r="G193" s="2" t="s">
        <v>6</v>
      </c>
      <c r="H193" s="27" t="s">
        <v>178</v>
      </c>
      <c r="I193" s="27" t="s">
        <v>179</v>
      </c>
      <c r="J193" s="26" t="s">
        <v>180</v>
      </c>
      <c r="K193" s="26" t="s">
        <v>181</v>
      </c>
      <c r="L193" s="4" t="s">
        <v>11</v>
      </c>
      <c r="M193" s="4" t="s">
        <v>12</v>
      </c>
      <c r="N193" s="4" t="s">
        <v>13</v>
      </c>
      <c r="O193" s="4" t="s">
        <v>14</v>
      </c>
      <c r="P193" s="4" t="s">
        <v>15</v>
      </c>
    </row>
    <row r="194" spans="1:16" ht="43.2" x14ac:dyDescent="0.3">
      <c r="A194" s="17"/>
      <c r="B194" s="6"/>
      <c r="C194" s="7"/>
      <c r="D194" s="7"/>
      <c r="E194" s="7"/>
      <c r="F194" s="7"/>
      <c r="G194" s="7"/>
      <c r="H194" s="8" t="s">
        <v>16</v>
      </c>
      <c r="I194" s="8" t="s">
        <v>740</v>
      </c>
      <c r="J194" s="8" t="s">
        <v>16</v>
      </c>
      <c r="K194" s="8" t="s">
        <v>16</v>
      </c>
      <c r="L194" s="10" t="s">
        <v>16</v>
      </c>
      <c r="M194" s="10" t="s">
        <v>16</v>
      </c>
      <c r="N194" s="11" t="s">
        <v>16</v>
      </c>
      <c r="O194" s="8" t="s">
        <v>16</v>
      </c>
      <c r="P194" s="8" t="s">
        <v>16</v>
      </c>
    </row>
    <row r="195" spans="1:16" ht="259.2" x14ac:dyDescent="0.3">
      <c r="A195" s="17"/>
      <c r="B195" s="6">
        <v>1</v>
      </c>
      <c r="C195" s="7" t="s">
        <v>741</v>
      </c>
      <c r="D195" s="7" t="s">
        <v>183</v>
      </c>
      <c r="E195" s="7" t="s">
        <v>634</v>
      </c>
      <c r="F195" s="7" t="b">
        <v>1</v>
      </c>
      <c r="G195" s="58"/>
      <c r="H195" s="58" t="s">
        <v>635</v>
      </c>
      <c r="I195" s="58" t="s">
        <v>742</v>
      </c>
      <c r="J195" s="59" t="s">
        <v>636</v>
      </c>
      <c r="K195" s="59" t="s">
        <v>552</v>
      </c>
      <c r="L195" s="14" t="s">
        <v>636</v>
      </c>
      <c r="M195" s="14" t="s">
        <v>554</v>
      </c>
      <c r="N195" s="7" t="s">
        <v>555</v>
      </c>
      <c r="O195" s="7" t="s">
        <v>552</v>
      </c>
      <c r="P195" s="7" t="s">
        <v>556</v>
      </c>
    </row>
    <row r="196" spans="1:16" ht="409.6" x14ac:dyDescent="0.3">
      <c r="A196" s="17"/>
      <c r="B196" s="6">
        <v>2</v>
      </c>
      <c r="C196" s="7" t="s">
        <v>743</v>
      </c>
      <c r="D196" s="7" t="s">
        <v>56</v>
      </c>
      <c r="E196" s="7" t="s">
        <v>721</v>
      </c>
      <c r="F196" s="7" t="b">
        <v>1</v>
      </c>
      <c r="G196" s="7"/>
      <c r="H196" s="25" t="s">
        <v>709</v>
      </c>
      <c r="I196" s="53">
        <v>45889</v>
      </c>
      <c r="J196" s="25" t="s">
        <v>744</v>
      </c>
      <c r="K196" s="7" t="s">
        <v>745</v>
      </c>
      <c r="L196" s="14" t="s">
        <v>710</v>
      </c>
      <c r="M196" s="60">
        <v>45909</v>
      </c>
      <c r="N196" s="61">
        <v>46000</v>
      </c>
      <c r="O196" s="7" t="s">
        <v>746</v>
      </c>
      <c r="P196" s="61">
        <v>45970</v>
      </c>
    </row>
    <row r="197" spans="1:16" ht="273.60000000000002" x14ac:dyDescent="0.3">
      <c r="A197" s="17"/>
      <c r="B197" s="6">
        <v>3</v>
      </c>
      <c r="C197" s="7" t="s">
        <v>747</v>
      </c>
      <c r="D197" s="7" t="s">
        <v>183</v>
      </c>
      <c r="E197" s="7" t="s">
        <v>417</v>
      </c>
      <c r="F197" s="7" t="b">
        <v>0</v>
      </c>
      <c r="G197" s="58"/>
      <c r="H197" s="62" t="s">
        <v>233</v>
      </c>
      <c r="I197" s="62" t="s">
        <v>233</v>
      </c>
      <c r="J197" s="62" t="s">
        <v>233</v>
      </c>
      <c r="K197" s="59" t="s">
        <v>702</v>
      </c>
      <c r="L197" s="58" t="s">
        <v>233</v>
      </c>
      <c r="M197" s="29" t="s">
        <v>703</v>
      </c>
      <c r="N197" s="7" t="s">
        <v>704</v>
      </c>
      <c r="O197" s="7" t="s">
        <v>705</v>
      </c>
      <c r="P197" s="7" t="s">
        <v>706</v>
      </c>
    </row>
    <row r="198" spans="1:16" ht="244.8" x14ac:dyDescent="0.3">
      <c r="A198" s="17"/>
      <c r="B198" s="6">
        <v>4</v>
      </c>
      <c r="C198" s="7" t="s">
        <v>748</v>
      </c>
      <c r="D198" s="7" t="s">
        <v>228</v>
      </c>
      <c r="E198" s="7" t="s">
        <v>301</v>
      </c>
      <c r="F198" s="7" t="b">
        <v>1</v>
      </c>
      <c r="G198" s="58"/>
      <c r="H198" s="63" t="s">
        <v>163</v>
      </c>
      <c r="I198" s="63" t="s">
        <v>163</v>
      </c>
      <c r="J198" s="63" t="s">
        <v>163</v>
      </c>
      <c r="K198" s="63" t="s">
        <v>163</v>
      </c>
      <c r="L198" s="23" t="s">
        <v>163</v>
      </c>
      <c r="M198" s="8" t="s">
        <v>643</v>
      </c>
      <c r="N198" s="8" t="s">
        <v>163</v>
      </c>
      <c r="O198" s="8" t="s">
        <v>164</v>
      </c>
      <c r="P198" s="8" t="s">
        <v>164</v>
      </c>
    </row>
    <row r="199" spans="1:16" ht="273.60000000000002" x14ac:dyDescent="0.3">
      <c r="A199" s="17"/>
      <c r="B199" s="6">
        <v>5</v>
      </c>
      <c r="C199" s="7" t="s">
        <v>182</v>
      </c>
      <c r="D199" s="7" t="s">
        <v>183</v>
      </c>
      <c r="E199" s="7" t="s">
        <v>417</v>
      </c>
      <c r="F199" s="7" t="b">
        <v>0</v>
      </c>
      <c r="G199" s="58"/>
      <c r="H199" s="62" t="s">
        <v>233</v>
      </c>
      <c r="I199" s="62" t="s">
        <v>233</v>
      </c>
      <c r="J199" s="59" t="s">
        <v>749</v>
      </c>
      <c r="K199" s="59" t="s">
        <v>362</v>
      </c>
      <c r="L199" s="62" t="s">
        <v>233</v>
      </c>
      <c r="M199" s="14" t="s">
        <v>750</v>
      </c>
      <c r="N199" s="7" t="s">
        <v>751</v>
      </c>
      <c r="O199" s="7" t="s">
        <v>752</v>
      </c>
      <c r="P199" s="7" t="s">
        <v>753</v>
      </c>
    </row>
    <row r="200" spans="1:16" ht="244.8" x14ac:dyDescent="0.3">
      <c r="A200" s="17"/>
      <c r="B200" s="6">
        <v>6</v>
      </c>
      <c r="C200" s="7" t="s">
        <v>754</v>
      </c>
      <c r="D200" s="7" t="s">
        <v>228</v>
      </c>
      <c r="E200" s="7" t="s">
        <v>301</v>
      </c>
      <c r="F200" s="7" t="b">
        <v>1</v>
      </c>
      <c r="G200" s="58"/>
      <c r="H200" s="63" t="s">
        <v>163</v>
      </c>
      <c r="I200" s="64" t="s">
        <v>163</v>
      </c>
      <c r="J200" s="62" t="s">
        <v>233</v>
      </c>
      <c r="K200" s="63" t="s">
        <v>163</v>
      </c>
      <c r="L200" s="23" t="s">
        <v>163</v>
      </c>
      <c r="M200" s="23" t="s">
        <v>163</v>
      </c>
      <c r="N200" s="8" t="s">
        <v>164</v>
      </c>
      <c r="O200" s="8" t="s">
        <v>164</v>
      </c>
      <c r="P200" s="8" t="s">
        <v>164</v>
      </c>
    </row>
    <row r="201" spans="1:16" ht="409.6" x14ac:dyDescent="0.3">
      <c r="A201" s="17"/>
      <c r="B201" s="6">
        <v>7</v>
      </c>
      <c r="C201" s="44" t="s">
        <v>755</v>
      </c>
      <c r="D201" s="44" t="s">
        <v>228</v>
      </c>
      <c r="E201" s="44" t="s">
        <v>756</v>
      </c>
      <c r="F201" s="7" t="b">
        <v>0</v>
      </c>
      <c r="G201" s="58"/>
      <c r="H201" s="64" t="s">
        <v>163</v>
      </c>
      <c r="I201" s="64" t="s">
        <v>643</v>
      </c>
      <c r="J201" s="63" t="s">
        <v>163</v>
      </c>
      <c r="K201" s="58" t="s">
        <v>233</v>
      </c>
      <c r="L201" s="23" t="s">
        <v>757</v>
      </c>
      <c r="M201" s="58" t="s">
        <v>233</v>
      </c>
      <c r="N201" s="7" t="s">
        <v>233</v>
      </c>
      <c r="O201" s="58" t="s">
        <v>233</v>
      </c>
      <c r="P201" s="58" t="s">
        <v>233</v>
      </c>
    </row>
    <row r="202" spans="1:16" ht="86.4" x14ac:dyDescent="0.3">
      <c r="A202" s="17"/>
      <c r="B202" s="6">
        <v>8</v>
      </c>
      <c r="C202" s="7" t="s">
        <v>758</v>
      </c>
      <c r="D202" s="7" t="s">
        <v>759</v>
      </c>
      <c r="E202" s="8" t="s">
        <v>738</v>
      </c>
      <c r="F202" s="7" t="b">
        <v>1</v>
      </c>
      <c r="G202" s="58"/>
      <c r="H202" s="62" t="s">
        <v>760</v>
      </c>
      <c r="I202" s="62" t="s">
        <v>760</v>
      </c>
      <c r="J202" s="58" t="s">
        <v>760</v>
      </c>
      <c r="K202" s="58" t="s">
        <v>238</v>
      </c>
      <c r="L202" s="62" t="s">
        <v>760</v>
      </c>
      <c r="M202" s="58" t="s">
        <v>238</v>
      </c>
      <c r="N202" s="58" t="s">
        <v>238</v>
      </c>
      <c r="O202" s="58" t="s">
        <v>238</v>
      </c>
      <c r="P202" s="58" t="s">
        <v>238</v>
      </c>
    </row>
    <row r="203" spans="1:16" ht="100.8" x14ac:dyDescent="0.3">
      <c r="A203" s="17"/>
      <c r="B203" s="6">
        <v>9</v>
      </c>
      <c r="C203" s="7" t="s">
        <v>761</v>
      </c>
      <c r="D203" s="7" t="s">
        <v>759</v>
      </c>
      <c r="E203" s="8" t="s">
        <v>734</v>
      </c>
      <c r="F203" s="7" t="b">
        <v>1</v>
      </c>
      <c r="G203" s="58"/>
      <c r="H203" s="58" t="s">
        <v>760</v>
      </c>
      <c r="I203" s="58" t="s">
        <v>760</v>
      </c>
      <c r="J203" s="58" t="s">
        <v>760</v>
      </c>
      <c r="K203" s="58" t="s">
        <v>760</v>
      </c>
      <c r="L203" s="58" t="s">
        <v>760</v>
      </c>
      <c r="M203" s="58" t="s">
        <v>760</v>
      </c>
      <c r="N203" s="7" t="s">
        <v>760</v>
      </c>
      <c r="O203" s="7" t="s">
        <v>760</v>
      </c>
      <c r="P203" s="7" t="s">
        <v>760</v>
      </c>
    </row>
    <row r="204" spans="1:16" ht="201.6" x14ac:dyDescent="0.3">
      <c r="A204" s="17"/>
      <c r="B204" s="6">
        <v>10</v>
      </c>
      <c r="C204" s="7" t="s">
        <v>762</v>
      </c>
      <c r="D204" s="7" t="s">
        <v>763</v>
      </c>
      <c r="E204" s="7" t="s">
        <v>764</v>
      </c>
      <c r="F204" s="7" t="b">
        <v>1</v>
      </c>
      <c r="G204" s="58"/>
      <c r="H204" s="58" t="s">
        <v>765</v>
      </c>
      <c r="I204" s="58" t="s">
        <v>766</v>
      </c>
      <c r="J204" s="59" t="s">
        <v>765</v>
      </c>
      <c r="K204" s="65">
        <v>45901</v>
      </c>
      <c r="L204" s="14" t="s">
        <v>767</v>
      </c>
      <c r="M204" s="66">
        <v>45901</v>
      </c>
      <c r="N204" s="67">
        <v>45901</v>
      </c>
      <c r="O204" s="68">
        <v>45901</v>
      </c>
      <c r="P204" s="67">
        <v>45901</v>
      </c>
    </row>
    <row r="205" spans="1:16" x14ac:dyDescent="0.3">
      <c r="A205" s="1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x14ac:dyDescent="0.3">
      <c r="A206" s="17"/>
      <c r="B206" s="6"/>
      <c r="C206" s="7" t="s">
        <v>172</v>
      </c>
      <c r="D206" s="7"/>
      <c r="E206" s="7"/>
      <c r="F206" s="7"/>
      <c r="G206" s="7"/>
      <c r="H206" s="7">
        <v>8</v>
      </c>
      <c r="I206" s="7">
        <v>9</v>
      </c>
      <c r="J206" s="7">
        <v>8</v>
      </c>
      <c r="K206" s="7">
        <v>3</v>
      </c>
      <c r="L206" s="7">
        <v>6</v>
      </c>
      <c r="M206" s="7">
        <v>5</v>
      </c>
      <c r="N206" s="7">
        <v>4</v>
      </c>
      <c r="O206" s="7">
        <v>5</v>
      </c>
      <c r="P206" s="7">
        <v>3</v>
      </c>
    </row>
    <row r="207" spans="1:16" ht="86.4" x14ac:dyDescent="0.3">
      <c r="A207" s="17"/>
      <c r="B207" s="6"/>
      <c r="C207" s="7" t="s">
        <v>173</v>
      </c>
      <c r="D207" s="7"/>
      <c r="E207" s="7"/>
      <c r="F207" s="7"/>
      <c r="G207" s="7"/>
      <c r="H207" s="7">
        <v>3</v>
      </c>
      <c r="I207" s="7">
        <v>2</v>
      </c>
      <c r="J207" s="7">
        <v>4</v>
      </c>
      <c r="K207" s="7">
        <v>2</v>
      </c>
      <c r="L207" s="7">
        <v>1</v>
      </c>
      <c r="M207" s="7">
        <v>3</v>
      </c>
      <c r="N207" s="7">
        <v>4</v>
      </c>
      <c r="O207" s="7">
        <v>4</v>
      </c>
      <c r="P207" s="7">
        <v>3</v>
      </c>
    </row>
    <row r="208" spans="1:16" x14ac:dyDescent="0.3">
      <c r="A208" s="17"/>
      <c r="B208" s="6"/>
      <c r="C208" s="14" t="s">
        <v>174</v>
      </c>
      <c r="D208" s="7"/>
      <c r="E208" s="7"/>
      <c r="F208" s="7"/>
      <c r="G208" s="7"/>
      <c r="H208" s="7">
        <v>5</v>
      </c>
      <c r="I208" s="7">
        <v>7</v>
      </c>
      <c r="J208" s="7">
        <v>4</v>
      </c>
      <c r="K208" s="7">
        <v>1</v>
      </c>
      <c r="L208" s="7">
        <v>5</v>
      </c>
      <c r="M208" s="7">
        <v>2</v>
      </c>
      <c r="N208" s="7">
        <v>0</v>
      </c>
      <c r="O208" s="7">
        <v>1</v>
      </c>
      <c r="P208" s="7">
        <v>0</v>
      </c>
    </row>
    <row r="209" spans="1:16" ht="43.2" x14ac:dyDescent="0.3">
      <c r="A209" s="12" t="s">
        <v>768</v>
      </c>
      <c r="B209" s="26" t="s">
        <v>1</v>
      </c>
      <c r="C209" s="26" t="s">
        <v>176</v>
      </c>
      <c r="D209" s="26" t="s">
        <v>3</v>
      </c>
      <c r="E209" s="26" t="s">
        <v>4</v>
      </c>
      <c r="F209" s="2" t="s">
        <v>5</v>
      </c>
      <c r="G209" s="2" t="s">
        <v>6</v>
      </c>
      <c r="H209" s="27" t="s">
        <v>769</v>
      </c>
      <c r="I209" s="27" t="s">
        <v>770</v>
      </c>
      <c r="J209" s="27" t="s">
        <v>771</v>
      </c>
      <c r="K209" s="26" t="s">
        <v>181</v>
      </c>
      <c r="L209" s="4" t="s">
        <v>11</v>
      </c>
      <c r="M209" s="4" t="s">
        <v>12</v>
      </c>
      <c r="N209" s="4" t="s">
        <v>13</v>
      </c>
      <c r="O209" s="4" t="s">
        <v>14</v>
      </c>
      <c r="P209" s="4" t="s">
        <v>15</v>
      </c>
    </row>
    <row r="210" spans="1:16" x14ac:dyDescent="0.3">
      <c r="A210" s="17"/>
      <c r="B210" s="6"/>
      <c r="C210" s="7"/>
      <c r="D210" s="7"/>
      <c r="E210" s="7"/>
      <c r="F210" s="7"/>
      <c r="G210" s="7"/>
      <c r="H210" s="28" t="s">
        <v>238</v>
      </c>
      <c r="I210" s="69" t="s">
        <v>16</v>
      </c>
      <c r="J210" s="28" t="s">
        <v>238</v>
      </c>
      <c r="K210" s="28" t="s">
        <v>238</v>
      </c>
      <c r="L210" s="28" t="s">
        <v>238</v>
      </c>
      <c r="M210" s="28" t="s">
        <v>238</v>
      </c>
      <c r="N210" s="28" t="s">
        <v>238</v>
      </c>
      <c r="O210" s="28" t="s">
        <v>238</v>
      </c>
      <c r="P210" s="28" t="s">
        <v>238</v>
      </c>
    </row>
    <row r="211" spans="1:16" ht="403.2" x14ac:dyDescent="0.3">
      <c r="A211" s="17"/>
      <c r="B211" s="6">
        <v>1</v>
      </c>
      <c r="C211" s="7" t="s">
        <v>31</v>
      </c>
      <c r="D211" s="7" t="s">
        <v>183</v>
      </c>
      <c r="E211" s="7" t="s">
        <v>772</v>
      </c>
      <c r="F211" s="7" t="b">
        <v>1</v>
      </c>
      <c r="G211" s="7"/>
      <c r="H211" s="17"/>
      <c r="I211" s="44" t="s">
        <v>419</v>
      </c>
      <c r="J211" s="17"/>
      <c r="K211" s="17"/>
      <c r="L211" s="17"/>
      <c r="M211" s="17"/>
      <c r="N211" s="17"/>
      <c r="O211" s="17"/>
      <c r="P211" s="17"/>
    </row>
    <row r="212" spans="1:16" ht="259.2" x14ac:dyDescent="0.3">
      <c r="A212" s="17"/>
      <c r="B212" s="6">
        <v>2</v>
      </c>
      <c r="C212" s="7" t="s">
        <v>395</v>
      </c>
      <c r="D212" s="7" t="s">
        <v>396</v>
      </c>
      <c r="E212" s="7" t="s">
        <v>773</v>
      </c>
      <c r="F212" s="7" t="b">
        <v>1</v>
      </c>
      <c r="G212" s="7"/>
      <c r="H212" s="17"/>
      <c r="I212" s="44" t="s">
        <v>774</v>
      </c>
      <c r="J212" s="17"/>
      <c r="K212" s="17"/>
      <c r="L212" s="17"/>
      <c r="M212" s="17"/>
      <c r="N212" s="17"/>
      <c r="O212" s="17"/>
      <c r="P212" s="17"/>
    </row>
    <row r="213" spans="1:16" ht="244.8" x14ac:dyDescent="0.3">
      <c r="A213" s="17"/>
      <c r="B213" s="6">
        <v>3</v>
      </c>
      <c r="C213" s="7" t="s">
        <v>775</v>
      </c>
      <c r="D213" s="7" t="s">
        <v>183</v>
      </c>
      <c r="E213" s="7" t="s">
        <v>45</v>
      </c>
      <c r="F213" s="7" t="b">
        <v>1</v>
      </c>
      <c r="G213" s="7"/>
      <c r="H213" s="17"/>
      <c r="I213" s="44" t="s">
        <v>776</v>
      </c>
      <c r="J213" s="17"/>
      <c r="K213" s="17"/>
      <c r="L213" s="17"/>
      <c r="M213" s="17"/>
      <c r="N213" s="17"/>
      <c r="O213" s="17"/>
      <c r="P213" s="17"/>
    </row>
    <row r="214" spans="1:16" ht="259.2" x14ac:dyDescent="0.3">
      <c r="A214" s="17"/>
      <c r="B214" s="6">
        <v>4</v>
      </c>
      <c r="C214" s="7" t="s">
        <v>777</v>
      </c>
      <c r="D214" s="7" t="s">
        <v>396</v>
      </c>
      <c r="E214" s="7" t="s">
        <v>616</v>
      </c>
      <c r="F214" s="7" t="b">
        <v>1</v>
      </c>
      <c r="G214" s="7"/>
      <c r="H214" s="17"/>
      <c r="I214" s="70" t="s">
        <v>778</v>
      </c>
      <c r="J214" s="17"/>
      <c r="K214" s="17"/>
      <c r="L214" s="17"/>
      <c r="M214" s="17"/>
      <c r="N214" s="17"/>
      <c r="O214" s="17"/>
      <c r="P214" s="17"/>
    </row>
    <row r="215" spans="1:16" ht="244.8" x14ac:dyDescent="0.3">
      <c r="A215" s="17"/>
      <c r="B215" s="6">
        <v>5</v>
      </c>
      <c r="C215" s="7" t="s">
        <v>779</v>
      </c>
      <c r="D215" s="7" t="s">
        <v>228</v>
      </c>
      <c r="E215" s="7" t="s">
        <v>301</v>
      </c>
      <c r="F215" s="7" t="b">
        <v>1</v>
      </c>
      <c r="G215" s="7"/>
      <c r="H215" s="17"/>
      <c r="I215" s="71" t="s">
        <v>780</v>
      </c>
      <c r="J215" s="17"/>
      <c r="K215" s="17"/>
      <c r="L215" s="17"/>
      <c r="M215" s="17"/>
      <c r="N215" s="17"/>
      <c r="O215" s="17"/>
      <c r="P215" s="17"/>
    </row>
    <row r="216" spans="1:16" ht="244.8" x14ac:dyDescent="0.3">
      <c r="A216" s="17"/>
      <c r="B216" s="6">
        <v>6</v>
      </c>
      <c r="C216" s="7" t="s">
        <v>781</v>
      </c>
      <c r="D216" s="7" t="s">
        <v>228</v>
      </c>
      <c r="E216" s="7" t="s">
        <v>301</v>
      </c>
      <c r="F216" s="7" t="b">
        <v>1</v>
      </c>
      <c r="G216" s="7"/>
      <c r="H216" s="17"/>
      <c r="I216" s="71" t="s">
        <v>780</v>
      </c>
      <c r="J216" s="17"/>
      <c r="K216" s="17"/>
      <c r="L216" s="17"/>
      <c r="M216" s="17"/>
      <c r="N216" s="17"/>
      <c r="O216" s="17"/>
      <c r="P216" s="17"/>
    </row>
    <row r="217" spans="1:16" ht="259.2" x14ac:dyDescent="0.3">
      <c r="A217" s="17"/>
      <c r="B217" s="6">
        <v>7</v>
      </c>
      <c r="C217" s="7" t="s">
        <v>782</v>
      </c>
      <c r="D217" s="7" t="s">
        <v>183</v>
      </c>
      <c r="E217" s="7" t="s">
        <v>634</v>
      </c>
      <c r="F217" s="7" t="b">
        <v>1</v>
      </c>
      <c r="G217" s="7"/>
      <c r="H217" s="17"/>
      <c r="I217" s="44" t="s">
        <v>636</v>
      </c>
      <c r="J217" s="17"/>
      <c r="K217" s="17"/>
      <c r="L217" s="17"/>
      <c r="M217" s="17"/>
      <c r="N217" s="17"/>
      <c r="O217" s="17"/>
      <c r="P217" s="17"/>
    </row>
    <row r="218" spans="1:16" ht="409.6" x14ac:dyDescent="0.3">
      <c r="A218" s="17"/>
      <c r="B218" s="6">
        <v>8</v>
      </c>
      <c r="C218" s="7" t="s">
        <v>783</v>
      </c>
      <c r="D218" s="7" t="s">
        <v>784</v>
      </c>
      <c r="E218" s="7" t="s">
        <v>721</v>
      </c>
      <c r="F218" s="7" t="b">
        <v>1</v>
      </c>
      <c r="G218" s="7"/>
      <c r="H218" s="17"/>
      <c r="I218" s="72">
        <v>45885</v>
      </c>
      <c r="J218" s="17"/>
      <c r="K218" s="17"/>
      <c r="L218" s="17"/>
      <c r="M218" s="17"/>
      <c r="N218" s="17"/>
      <c r="O218" s="17"/>
      <c r="P218" s="17"/>
    </row>
    <row r="219" spans="1:16" ht="403.2" x14ac:dyDescent="0.3">
      <c r="A219" s="17"/>
      <c r="B219" s="6">
        <v>9</v>
      </c>
      <c r="C219" s="7" t="s">
        <v>785</v>
      </c>
      <c r="D219" s="7" t="s">
        <v>183</v>
      </c>
      <c r="E219" s="7" t="s">
        <v>772</v>
      </c>
      <c r="F219" s="7" t="b">
        <v>1</v>
      </c>
      <c r="G219" s="7"/>
      <c r="H219" s="17"/>
      <c r="I219" s="30" t="s">
        <v>233</v>
      </c>
      <c r="J219" s="17"/>
      <c r="K219" s="17"/>
      <c r="L219" s="17"/>
      <c r="M219" s="17"/>
      <c r="N219" s="17"/>
      <c r="O219" s="17"/>
      <c r="P219" s="17"/>
    </row>
    <row r="220" spans="1:16" ht="244.8" x14ac:dyDescent="0.3">
      <c r="A220" s="17"/>
      <c r="B220" s="6">
        <v>10</v>
      </c>
      <c r="C220" s="7" t="s">
        <v>786</v>
      </c>
      <c r="D220" s="7" t="s">
        <v>228</v>
      </c>
      <c r="E220" s="7" t="s">
        <v>301</v>
      </c>
      <c r="F220" s="7" t="b">
        <v>1</v>
      </c>
      <c r="G220" s="7"/>
      <c r="H220" s="17"/>
      <c r="I220" s="73" t="s">
        <v>780</v>
      </c>
      <c r="J220" s="17"/>
      <c r="K220" s="17"/>
      <c r="L220" s="17"/>
      <c r="M220" s="17"/>
      <c r="N220" s="17"/>
      <c r="O220" s="17"/>
      <c r="P220" s="17"/>
    </row>
    <row r="221" spans="1:16" ht="230.4" x14ac:dyDescent="0.3">
      <c r="A221" s="17"/>
      <c r="B221" s="6">
        <v>11</v>
      </c>
      <c r="C221" s="7" t="s">
        <v>787</v>
      </c>
      <c r="D221" s="7" t="s">
        <v>759</v>
      </c>
      <c r="E221" s="7" t="s">
        <v>645</v>
      </c>
      <c r="F221" s="7" t="b">
        <v>1</v>
      </c>
      <c r="G221" s="7"/>
      <c r="H221" s="17"/>
      <c r="I221" s="73" t="s">
        <v>230</v>
      </c>
      <c r="J221" s="17"/>
      <c r="K221" s="17"/>
      <c r="L221" s="17"/>
      <c r="M221" s="17"/>
      <c r="N221" s="17"/>
      <c r="O221" s="17"/>
      <c r="P221" s="17"/>
    </row>
    <row r="222" spans="1:16" ht="100.8" x14ac:dyDescent="0.3">
      <c r="A222" s="17"/>
      <c r="B222" s="6">
        <v>12</v>
      </c>
      <c r="C222" s="44" t="s">
        <v>167</v>
      </c>
      <c r="D222" s="44" t="s">
        <v>168</v>
      </c>
      <c r="E222" s="8" t="s">
        <v>788</v>
      </c>
      <c r="F222" s="7" t="b">
        <v>1</v>
      </c>
      <c r="G222" s="7"/>
      <c r="H222" s="17"/>
      <c r="I222" s="44" t="s">
        <v>170</v>
      </c>
      <c r="J222" s="17"/>
      <c r="K222" s="17"/>
      <c r="L222" s="17"/>
      <c r="M222" s="17"/>
      <c r="N222" s="17"/>
      <c r="O222" s="17"/>
      <c r="P222" s="17"/>
    </row>
    <row r="223" spans="1:16" x14ac:dyDescent="0.3">
      <c r="A223" s="1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x14ac:dyDescent="0.3">
      <c r="A224" s="17"/>
      <c r="B224" s="6"/>
      <c r="C224" s="7" t="s">
        <v>172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86.4" x14ac:dyDescent="0.3">
      <c r="A225" s="17"/>
      <c r="B225" s="6"/>
      <c r="C225" s="7" t="s">
        <v>173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x14ac:dyDescent="0.3">
      <c r="A226" s="17"/>
      <c r="B226" s="6"/>
      <c r="C226" s="14" t="s">
        <v>174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43.2" x14ac:dyDescent="0.3">
      <c r="A227" s="12" t="s">
        <v>789</v>
      </c>
      <c r="B227" s="74" t="s">
        <v>1</v>
      </c>
      <c r="C227" s="74" t="s">
        <v>176</v>
      </c>
      <c r="D227" s="74" t="s">
        <v>3</v>
      </c>
      <c r="E227" s="74" t="s">
        <v>4</v>
      </c>
      <c r="F227" s="2" t="s">
        <v>5</v>
      </c>
      <c r="G227" s="2" t="s">
        <v>6</v>
      </c>
      <c r="H227" s="75" t="s">
        <v>178</v>
      </c>
      <c r="I227" s="75" t="s">
        <v>179</v>
      </c>
      <c r="J227" s="75" t="s">
        <v>180</v>
      </c>
      <c r="K227" s="26" t="s">
        <v>181</v>
      </c>
      <c r="L227" s="4" t="s">
        <v>11</v>
      </c>
      <c r="M227" s="4" t="s">
        <v>12</v>
      </c>
      <c r="N227" s="4" t="s">
        <v>13</v>
      </c>
      <c r="O227" s="4" t="s">
        <v>14</v>
      </c>
      <c r="P227" s="4" t="s">
        <v>15</v>
      </c>
    </row>
    <row r="228" spans="1:16" x14ac:dyDescent="0.3">
      <c r="A228" s="17"/>
      <c r="B228" s="6"/>
      <c r="C228" s="7"/>
      <c r="D228" s="7"/>
      <c r="E228" s="7"/>
      <c r="F228" s="7"/>
      <c r="G228" s="7"/>
      <c r="H228" s="28" t="s">
        <v>238</v>
      </c>
      <c r="I228" s="69" t="s">
        <v>16</v>
      </c>
      <c r="J228" s="28" t="s">
        <v>238</v>
      </c>
      <c r="K228" s="28" t="s">
        <v>238</v>
      </c>
      <c r="L228" s="28" t="s">
        <v>238</v>
      </c>
      <c r="M228" s="28" t="s">
        <v>238</v>
      </c>
      <c r="N228" s="28" t="s">
        <v>238</v>
      </c>
      <c r="O228" s="8" t="s">
        <v>16</v>
      </c>
      <c r="P228" s="28" t="s">
        <v>238</v>
      </c>
    </row>
    <row r="229" spans="1:16" ht="409.6" x14ac:dyDescent="0.3">
      <c r="A229" s="17"/>
      <c r="B229" s="6">
        <v>1</v>
      </c>
      <c r="C229" s="7" t="s">
        <v>516</v>
      </c>
      <c r="D229" s="7" t="s">
        <v>183</v>
      </c>
      <c r="E229" s="7" t="s">
        <v>517</v>
      </c>
      <c r="F229" s="7" t="b">
        <v>1</v>
      </c>
      <c r="G229" s="7"/>
      <c r="H229" s="17"/>
      <c r="I229" s="44" t="s">
        <v>790</v>
      </c>
      <c r="J229" s="17"/>
      <c r="K229" s="17"/>
      <c r="L229" s="17"/>
      <c r="M229" s="17"/>
      <c r="N229" s="17"/>
      <c r="O229" s="7" t="s">
        <v>525</v>
      </c>
      <c r="P229" s="17"/>
    </row>
    <row r="230" spans="1:16" ht="409.6" x14ac:dyDescent="0.3">
      <c r="A230" s="17"/>
      <c r="B230" s="6">
        <v>2</v>
      </c>
      <c r="C230" s="7" t="s">
        <v>791</v>
      </c>
      <c r="D230" s="7" t="s">
        <v>792</v>
      </c>
      <c r="E230" s="7" t="s">
        <v>793</v>
      </c>
      <c r="F230" s="7" t="b">
        <v>1</v>
      </c>
      <c r="G230" s="7"/>
      <c r="H230" s="17"/>
      <c r="I230" s="44" t="s">
        <v>794</v>
      </c>
      <c r="J230" s="17"/>
      <c r="K230" s="17"/>
      <c r="L230" s="17"/>
      <c r="M230" s="17"/>
      <c r="N230" s="17"/>
      <c r="O230" s="7" t="s">
        <v>795</v>
      </c>
      <c r="P230" s="17"/>
    </row>
    <row r="231" spans="1:16" ht="172.8" x14ac:dyDescent="0.3">
      <c r="A231" s="17"/>
      <c r="B231" s="6">
        <v>3</v>
      </c>
      <c r="C231" s="7" t="s">
        <v>796</v>
      </c>
      <c r="D231" s="7" t="s">
        <v>183</v>
      </c>
      <c r="E231" s="7" t="s">
        <v>797</v>
      </c>
      <c r="F231" s="7" t="b">
        <v>1</v>
      </c>
      <c r="G231" s="7"/>
      <c r="H231" s="17"/>
      <c r="I231" s="44" t="s">
        <v>798</v>
      </c>
      <c r="J231" s="17"/>
      <c r="K231" s="17"/>
      <c r="L231" s="17"/>
      <c r="M231" s="17"/>
      <c r="N231" s="17"/>
      <c r="O231" s="16" t="s">
        <v>799</v>
      </c>
      <c r="P231" s="17"/>
    </row>
    <row r="232" spans="1:16" ht="201.6" x14ac:dyDescent="0.3">
      <c r="A232" s="17"/>
      <c r="B232" s="6">
        <v>4</v>
      </c>
      <c r="C232" s="7" t="s">
        <v>800</v>
      </c>
      <c r="D232" s="7" t="s">
        <v>183</v>
      </c>
      <c r="E232" s="7" t="s">
        <v>801</v>
      </c>
      <c r="F232" s="7" t="b">
        <v>1</v>
      </c>
      <c r="G232" s="7"/>
      <c r="H232" s="17"/>
      <c r="I232" s="44" t="s">
        <v>802</v>
      </c>
      <c r="J232" s="17"/>
      <c r="K232" s="17"/>
      <c r="L232" s="17"/>
      <c r="M232" s="17"/>
      <c r="N232" s="17"/>
      <c r="O232" s="7" t="s">
        <v>803</v>
      </c>
      <c r="P232" s="17"/>
    </row>
    <row r="233" spans="1:16" ht="201.6" x14ac:dyDescent="0.3">
      <c r="A233" s="17"/>
      <c r="B233" s="6">
        <v>5</v>
      </c>
      <c r="C233" s="7" t="s">
        <v>804</v>
      </c>
      <c r="D233" s="7" t="s">
        <v>183</v>
      </c>
      <c r="E233" s="7" t="s">
        <v>801</v>
      </c>
      <c r="F233" s="7" t="b">
        <v>1</v>
      </c>
      <c r="G233" s="7"/>
      <c r="H233" s="17"/>
      <c r="I233" s="44" t="s">
        <v>805</v>
      </c>
      <c r="J233" s="17"/>
      <c r="K233" s="17"/>
      <c r="L233" s="17"/>
      <c r="M233" s="17"/>
      <c r="N233" s="17"/>
      <c r="O233" s="25" t="s">
        <v>313</v>
      </c>
      <c r="P233" s="17"/>
    </row>
    <row r="234" spans="1:16" ht="216" x14ac:dyDescent="0.3">
      <c r="A234" s="17"/>
      <c r="B234" s="6">
        <v>6</v>
      </c>
      <c r="C234" s="7" t="s">
        <v>806</v>
      </c>
      <c r="D234" s="7" t="s">
        <v>183</v>
      </c>
      <c r="E234" s="7" t="s">
        <v>807</v>
      </c>
      <c r="F234" s="7" t="b">
        <v>1</v>
      </c>
      <c r="G234" s="7"/>
      <c r="H234" s="17"/>
      <c r="I234" s="44" t="s">
        <v>419</v>
      </c>
      <c r="J234" s="17"/>
      <c r="K234" s="17"/>
      <c r="L234" s="17"/>
      <c r="M234" s="17"/>
      <c r="N234" s="17"/>
      <c r="O234" s="7" t="s">
        <v>365</v>
      </c>
      <c r="P234" s="17"/>
    </row>
    <row r="235" spans="1:16" ht="273.60000000000002" x14ac:dyDescent="0.3">
      <c r="A235" s="17"/>
      <c r="B235" s="6">
        <v>7</v>
      </c>
      <c r="C235" s="7" t="s">
        <v>808</v>
      </c>
      <c r="D235" s="7" t="s">
        <v>183</v>
      </c>
      <c r="E235" s="7" t="s">
        <v>417</v>
      </c>
      <c r="F235" s="7" t="b">
        <v>1</v>
      </c>
      <c r="G235" s="7"/>
      <c r="H235" s="17"/>
      <c r="I235" s="44" t="s">
        <v>809</v>
      </c>
      <c r="J235" s="17"/>
      <c r="K235" s="17"/>
      <c r="L235" s="17"/>
      <c r="M235" s="17"/>
      <c r="N235" s="17"/>
      <c r="O235" s="7" t="s">
        <v>532</v>
      </c>
      <c r="P235" s="17"/>
    </row>
    <row r="236" spans="1:16" ht="409.6" x14ac:dyDescent="0.3">
      <c r="A236" s="17"/>
      <c r="B236" s="6">
        <v>8</v>
      </c>
      <c r="C236" s="7" t="s">
        <v>810</v>
      </c>
      <c r="D236" s="7" t="s">
        <v>811</v>
      </c>
      <c r="E236" s="7" t="s">
        <v>793</v>
      </c>
      <c r="F236" s="7" t="b">
        <v>1</v>
      </c>
      <c r="G236" s="7"/>
      <c r="H236" s="17"/>
      <c r="I236" s="72">
        <v>45885</v>
      </c>
      <c r="J236" s="17"/>
      <c r="K236" s="17"/>
      <c r="L236" s="17"/>
      <c r="M236" s="17"/>
      <c r="N236" s="17"/>
      <c r="O236" s="7" t="s">
        <v>812</v>
      </c>
      <c r="P236" s="17"/>
    </row>
    <row r="237" spans="1:16" ht="216" x14ac:dyDescent="0.3">
      <c r="A237" s="17"/>
      <c r="B237" s="6">
        <v>9</v>
      </c>
      <c r="C237" s="7" t="s">
        <v>813</v>
      </c>
      <c r="D237" s="7" t="s">
        <v>183</v>
      </c>
      <c r="E237" s="7" t="s">
        <v>807</v>
      </c>
      <c r="F237" s="7" t="b">
        <v>1</v>
      </c>
      <c r="G237" s="7"/>
      <c r="H237" s="17"/>
      <c r="I237" s="44" t="s">
        <v>814</v>
      </c>
      <c r="J237" s="17"/>
      <c r="K237" s="17"/>
      <c r="L237" s="17"/>
      <c r="M237" s="17"/>
      <c r="N237" s="17"/>
      <c r="O237" s="7" t="s">
        <v>815</v>
      </c>
      <c r="P237" s="17"/>
    </row>
    <row r="238" spans="1:16" ht="273.60000000000002" x14ac:dyDescent="0.3">
      <c r="A238" s="17"/>
      <c r="B238" s="6">
        <v>10</v>
      </c>
      <c r="C238" s="7" t="s">
        <v>816</v>
      </c>
      <c r="D238" s="7" t="s">
        <v>183</v>
      </c>
      <c r="E238" s="7" t="s">
        <v>417</v>
      </c>
      <c r="F238" s="7" t="b">
        <v>1</v>
      </c>
      <c r="G238" s="7"/>
      <c r="H238" s="17"/>
      <c r="I238" s="44" t="s">
        <v>817</v>
      </c>
      <c r="J238" s="17"/>
      <c r="K238" s="17"/>
      <c r="L238" s="17"/>
      <c r="M238" s="17"/>
      <c r="N238" s="17"/>
      <c r="O238" s="7" t="s">
        <v>818</v>
      </c>
      <c r="P238" s="17"/>
    </row>
    <row r="239" spans="1:16" ht="216" x14ac:dyDescent="0.3">
      <c r="A239" s="17"/>
      <c r="B239" s="6">
        <v>11</v>
      </c>
      <c r="C239" s="7" t="s">
        <v>819</v>
      </c>
      <c r="D239" s="7" t="s">
        <v>183</v>
      </c>
      <c r="E239" s="7" t="s">
        <v>820</v>
      </c>
      <c r="F239" s="7" t="b">
        <v>0</v>
      </c>
      <c r="G239" s="7"/>
      <c r="H239" s="17"/>
      <c r="I239" s="44" t="s">
        <v>821</v>
      </c>
      <c r="J239" s="17"/>
      <c r="K239" s="17"/>
      <c r="L239" s="17"/>
      <c r="M239" s="17"/>
      <c r="N239" s="17"/>
      <c r="O239" s="7" t="s">
        <v>313</v>
      </c>
      <c r="P239" s="17"/>
    </row>
    <row r="240" spans="1:16" ht="244.8" x14ac:dyDescent="0.3">
      <c r="A240" s="17"/>
      <c r="B240" s="6">
        <v>12</v>
      </c>
      <c r="C240" s="7" t="s">
        <v>822</v>
      </c>
      <c r="D240" s="7" t="s">
        <v>228</v>
      </c>
      <c r="E240" s="7" t="s">
        <v>301</v>
      </c>
      <c r="F240" s="7" t="b">
        <v>1</v>
      </c>
      <c r="G240" s="7"/>
      <c r="H240" s="17"/>
      <c r="I240" s="71" t="s">
        <v>823</v>
      </c>
      <c r="J240" s="17"/>
      <c r="K240" s="17"/>
      <c r="L240" s="17"/>
      <c r="M240" s="17"/>
      <c r="N240" s="17"/>
      <c r="O240" s="8" t="s">
        <v>164</v>
      </c>
      <c r="P240" s="17"/>
    </row>
    <row r="241" spans="1:16" ht="388.8" x14ac:dyDescent="0.3">
      <c r="A241" s="17"/>
      <c r="B241" s="6">
        <v>13</v>
      </c>
      <c r="C241" s="7" t="s">
        <v>824</v>
      </c>
      <c r="D241" s="7" t="s">
        <v>183</v>
      </c>
      <c r="E241" s="7" t="s">
        <v>538</v>
      </c>
      <c r="F241" s="7" t="b">
        <v>1</v>
      </c>
      <c r="G241" s="7"/>
      <c r="H241" s="17"/>
      <c r="I241" s="44" t="s">
        <v>825</v>
      </c>
      <c r="J241" s="17"/>
      <c r="K241" s="17"/>
      <c r="L241" s="17"/>
      <c r="M241" s="17"/>
      <c r="N241" s="17"/>
      <c r="O241" s="7" t="s">
        <v>313</v>
      </c>
      <c r="P241" s="17"/>
    </row>
    <row r="242" spans="1:16" ht="216" x14ac:dyDescent="0.3">
      <c r="A242" s="17"/>
      <c r="B242" s="6">
        <v>14</v>
      </c>
      <c r="C242" s="7" t="s">
        <v>826</v>
      </c>
      <c r="D242" s="7" t="s">
        <v>183</v>
      </c>
      <c r="E242" s="7" t="s">
        <v>807</v>
      </c>
      <c r="F242" s="7" t="b">
        <v>0</v>
      </c>
      <c r="G242" s="7"/>
      <c r="H242" s="17"/>
      <c r="I242" s="44" t="s">
        <v>827</v>
      </c>
      <c r="J242" s="17"/>
      <c r="K242" s="17"/>
      <c r="L242" s="17"/>
      <c r="M242" s="17"/>
      <c r="N242" s="17"/>
      <c r="O242" s="25" t="s">
        <v>828</v>
      </c>
      <c r="P242" s="17"/>
    </row>
    <row r="243" spans="1:16" ht="216" x14ac:dyDescent="0.3">
      <c r="A243" s="17"/>
      <c r="B243" s="6">
        <v>15</v>
      </c>
      <c r="C243" s="7" t="s">
        <v>829</v>
      </c>
      <c r="D243" s="7" t="s">
        <v>183</v>
      </c>
      <c r="E243" s="7" t="s">
        <v>820</v>
      </c>
      <c r="F243" s="7" t="b">
        <v>0</v>
      </c>
      <c r="G243" s="7"/>
      <c r="H243" s="17"/>
      <c r="I243" s="44" t="s">
        <v>821</v>
      </c>
      <c r="J243" s="17"/>
      <c r="K243" s="17"/>
      <c r="L243" s="17"/>
      <c r="M243" s="17"/>
      <c r="N243" s="17"/>
      <c r="O243" s="43" t="s">
        <v>483</v>
      </c>
      <c r="P243" s="17"/>
    </row>
    <row r="244" spans="1:16" ht="388.8" x14ac:dyDescent="0.3">
      <c r="A244" s="17"/>
      <c r="B244" s="6">
        <v>16</v>
      </c>
      <c r="C244" s="7" t="s">
        <v>830</v>
      </c>
      <c r="D244" s="7" t="s">
        <v>183</v>
      </c>
      <c r="E244" s="7" t="s">
        <v>538</v>
      </c>
      <c r="F244" s="7" t="b">
        <v>0</v>
      </c>
      <c r="G244" s="7"/>
      <c r="H244" s="17"/>
      <c r="I244" s="44" t="s">
        <v>831</v>
      </c>
      <c r="J244" s="17"/>
      <c r="K244" s="17"/>
      <c r="L244" s="17"/>
      <c r="M244" s="17"/>
      <c r="N244" s="17"/>
      <c r="O244" s="7" t="s">
        <v>832</v>
      </c>
      <c r="P244" s="17"/>
    </row>
    <row r="245" spans="1:16" ht="409.6" x14ac:dyDescent="0.3">
      <c r="A245" s="17"/>
      <c r="B245" s="6">
        <v>17</v>
      </c>
      <c r="C245" s="7" t="s">
        <v>833</v>
      </c>
      <c r="D245" s="7" t="s">
        <v>834</v>
      </c>
      <c r="E245" s="7" t="s">
        <v>793</v>
      </c>
      <c r="F245" s="7" t="b">
        <v>0</v>
      </c>
      <c r="G245" s="7"/>
      <c r="H245" s="17"/>
      <c r="I245" s="44" t="s">
        <v>835</v>
      </c>
      <c r="J245" s="17"/>
      <c r="K245" s="17"/>
      <c r="L245" s="17"/>
      <c r="M245" s="17"/>
      <c r="N245" s="17"/>
      <c r="O245" s="76">
        <v>45786</v>
      </c>
      <c r="P245" s="17"/>
    </row>
    <row r="246" spans="1:16" ht="158.4" x14ac:dyDescent="0.3">
      <c r="A246" s="17"/>
      <c r="B246" s="6">
        <v>18</v>
      </c>
      <c r="C246" s="7" t="s">
        <v>836</v>
      </c>
      <c r="D246" s="7" t="s">
        <v>837</v>
      </c>
      <c r="E246" s="7" t="s">
        <v>838</v>
      </c>
      <c r="F246" s="7" t="b">
        <v>0</v>
      </c>
      <c r="G246" s="7"/>
      <c r="H246" s="17"/>
      <c r="I246" s="77">
        <v>0.55208333333333337</v>
      </c>
      <c r="J246" s="17"/>
      <c r="K246" s="17"/>
      <c r="L246" s="17"/>
      <c r="M246" s="17"/>
      <c r="N246" s="17"/>
      <c r="O246" s="7">
        <v>13.34</v>
      </c>
      <c r="P246" s="17"/>
    </row>
    <row r="247" spans="1:16" ht="216" x14ac:dyDescent="0.3">
      <c r="A247" s="17"/>
      <c r="B247" s="6">
        <v>19</v>
      </c>
      <c r="C247" s="7" t="s">
        <v>839</v>
      </c>
      <c r="D247" s="7" t="s">
        <v>183</v>
      </c>
      <c r="E247" s="7" t="s">
        <v>807</v>
      </c>
      <c r="F247" s="7" t="b">
        <v>0</v>
      </c>
      <c r="G247" s="7"/>
      <c r="H247" s="17"/>
      <c r="I247" s="44" t="s">
        <v>840</v>
      </c>
      <c r="J247" s="17"/>
      <c r="K247" s="17"/>
      <c r="L247" s="17"/>
      <c r="M247" s="17"/>
      <c r="N247" s="17"/>
      <c r="O247" s="25" t="s">
        <v>718</v>
      </c>
      <c r="P247" s="17"/>
    </row>
    <row r="248" spans="1:16" ht="100.8" x14ac:dyDescent="0.3">
      <c r="A248" s="17"/>
      <c r="B248" s="6">
        <v>20</v>
      </c>
      <c r="C248" s="7" t="s">
        <v>841</v>
      </c>
      <c r="D248" s="7" t="s">
        <v>228</v>
      </c>
      <c r="E248" s="8" t="s">
        <v>842</v>
      </c>
      <c r="F248" s="7" t="b">
        <v>0</v>
      </c>
      <c r="G248" s="7"/>
      <c r="H248" s="17"/>
      <c r="I248" s="30" t="s">
        <v>170</v>
      </c>
      <c r="J248" s="17"/>
      <c r="K248" s="17"/>
      <c r="L248" s="17"/>
      <c r="M248" s="17"/>
      <c r="N248" s="17"/>
      <c r="O248" s="7" t="s">
        <v>170</v>
      </c>
      <c r="P248" s="17"/>
    </row>
  </sheetData>
  <mergeCells count="35">
    <mergeCell ref="M228:M248"/>
    <mergeCell ref="N228:N248"/>
    <mergeCell ref="P228:P248"/>
    <mergeCell ref="L210:L222"/>
    <mergeCell ref="M210:M222"/>
    <mergeCell ref="N210:N222"/>
    <mergeCell ref="O210:O222"/>
    <mergeCell ref="P210:P222"/>
    <mergeCell ref="A227:A248"/>
    <mergeCell ref="H228:H248"/>
    <mergeCell ref="J228:J248"/>
    <mergeCell ref="K228:K248"/>
    <mergeCell ref="L228:L248"/>
    <mergeCell ref="A94:A192"/>
    <mergeCell ref="A193:A208"/>
    <mergeCell ref="A209:A226"/>
    <mergeCell ref="H210:H222"/>
    <mergeCell ref="J210:J222"/>
    <mergeCell ref="K210:K222"/>
    <mergeCell ref="P28:P44"/>
    <mergeCell ref="A49:A93"/>
    <mergeCell ref="H50:H89"/>
    <mergeCell ref="J50:J89"/>
    <mergeCell ref="K50:K89"/>
    <mergeCell ref="L50:L89"/>
    <mergeCell ref="M50:M89"/>
    <mergeCell ref="N50:N89"/>
    <mergeCell ref="O50:O89"/>
    <mergeCell ref="P50:P89"/>
    <mergeCell ref="A3:A26"/>
    <mergeCell ref="A27:A48"/>
    <mergeCell ref="H28:H44"/>
    <mergeCell ref="K28:K44"/>
    <mergeCell ref="N28:N44"/>
    <mergeCell ref="O28:O44"/>
  </mergeCells>
  <hyperlinks>
    <hyperlink ref="H2" r:id="rId1" xr:uid="{D4977C94-8B29-4088-B2F5-64EE6D78BCE9}"/>
    <hyperlink ref="I2" r:id="rId2" xr:uid="{ADE4E7F9-5921-4E6C-AD7B-0DA974C5DF86}"/>
    <hyperlink ref="J2" r:id="rId3" xr:uid="{315DABE7-8E64-4234-AE00-D75474E06549}"/>
    <hyperlink ref="K2" r:id="rId4" xr:uid="{3B926D32-F0F8-4C85-ABEB-8C500DDFCE73}"/>
    <hyperlink ref="L2" r:id="rId5" xr:uid="{C4D9C6BD-9727-4A9C-8737-F1526C55860E}"/>
    <hyperlink ref="M2" r:id="rId6" xr:uid="{0D45B75B-8804-4113-95AD-02B31F0E1EAF}"/>
    <hyperlink ref="N2" r:id="rId7" xr:uid="{601065BA-A441-47E9-8EC0-87AE7746AACC}"/>
    <hyperlink ref="O2" r:id="rId8" xr:uid="{F9BD9E4A-0A17-489D-97A5-9BA87D549FC4}"/>
    <hyperlink ref="P2" r:id="rId9" xr:uid="{C4CAE925-6E19-4FF5-BFBE-4A64917B19B2}"/>
    <hyperlink ref="L16" r:id="rId10" xr:uid="{766EA4DE-7F5D-45E8-A266-FE0FB08E04CD}"/>
    <hyperlink ref="H20" r:id="rId11" xr:uid="{095B2287-CB50-40BE-B377-E234ED25BD0C}"/>
    <hyperlink ref="I20" r:id="rId12" xr:uid="{0A5107D2-F870-4499-A0E4-EBD97BE90A2E}"/>
    <hyperlink ref="J20" r:id="rId13" xr:uid="{C363BAFF-8566-45C1-A640-FA7E666E76EE}"/>
    <hyperlink ref="K20" r:id="rId14" xr:uid="{3AED6E32-580F-410E-94CF-B6BE55FF8C46}"/>
    <hyperlink ref="L20" r:id="rId15" xr:uid="{4171BCBA-5E6F-40E6-AE16-D85668562DC2}"/>
    <hyperlink ref="M20" r:id="rId16" xr:uid="{4393CCE5-0E8B-49AC-8501-021B47B394DC}"/>
    <hyperlink ref="N20" r:id="rId17" xr:uid="{911F7E55-2024-42F4-A3F8-2B4230F3798B}"/>
    <hyperlink ref="O20" r:id="rId18" xr:uid="{8A2C494A-3C61-4BC3-8217-76301771CAF1}"/>
    <hyperlink ref="P20" r:id="rId19" xr:uid="{C116D2C3-8F20-4F9F-BC6A-77FD5537E8DF}"/>
    <hyperlink ref="H21" r:id="rId20" xr:uid="{3F18B54A-73E5-4936-8BBB-417DB7B7AD5B}"/>
    <hyperlink ref="I21" r:id="rId21" xr:uid="{EC23CED9-D5FB-4F8B-BDA8-EA8C794EE62C}"/>
    <hyperlink ref="J21" r:id="rId22" xr:uid="{3A9D4459-AE70-4C66-B6AC-FFCF0DBC74C0}"/>
    <hyperlink ref="K21" r:id="rId23" xr:uid="{D672632C-FF54-43CD-9B64-8B9747E90E46}"/>
    <hyperlink ref="L21" r:id="rId24" xr:uid="{96C13051-84F5-4858-AD28-ACDDEF973E00}"/>
    <hyperlink ref="M21" r:id="rId25" xr:uid="{2DC2414E-6657-4F2A-A6F3-82D443D0BF2D}"/>
    <hyperlink ref="N21" r:id="rId26" xr:uid="{4199C8E2-BD1A-48C4-9E35-79FB7C1CFE3C}"/>
    <hyperlink ref="O21" r:id="rId27" xr:uid="{8545BD69-DB26-4129-88B2-EDE065FB981F}"/>
    <hyperlink ref="P21" r:id="rId28" xr:uid="{CA982B08-9A7B-4CAF-B548-4234E8510337}"/>
    <hyperlink ref="E22" r:id="rId29" xr:uid="{F12F833A-910C-4E9F-B315-10B98FFC8C65}"/>
    <hyperlink ref="I28" r:id="rId30" xr:uid="{3659D9FD-AD65-4544-BD8A-BE8B2315ED54}"/>
    <hyperlink ref="J28" r:id="rId31" xr:uid="{B74EEF0C-8F48-46ED-A5B5-FE149E957DF1}"/>
    <hyperlink ref="L28" r:id="rId32" xr:uid="{4F53DAE4-67F3-4CAB-8B4A-711626B68E3C}"/>
    <hyperlink ref="M28" r:id="rId33" xr:uid="{D4E4DB53-9F50-4D2D-B844-91D55AB3EB0B}"/>
    <hyperlink ref="I42" r:id="rId34" xr:uid="{F2FEBC9D-A52C-45BE-B1BA-430CCA1ACFAA}"/>
    <hyperlink ref="J42" r:id="rId35" xr:uid="{30ACA4CD-1EBD-42CD-99CE-649BCE01B628}"/>
    <hyperlink ref="L42" r:id="rId36" xr:uid="{5CDAD6B1-3C5C-4868-9666-7EBDACDCB92C}"/>
    <hyperlink ref="M42" r:id="rId37" xr:uid="{977C5583-1BD4-47E2-A281-31CE85EFC788}"/>
    <hyperlink ref="J43" r:id="rId38" xr:uid="{B90A8291-DE52-4CF5-A136-1A8442914B67}"/>
    <hyperlink ref="L43" r:id="rId39" xr:uid="{49B252F7-84E0-4ED3-B1E0-6228FB695B92}"/>
    <hyperlink ref="M43" r:id="rId40" xr:uid="{2C17E4BC-4E53-4BAB-95F1-BE208C541B69}"/>
    <hyperlink ref="E44" r:id="rId41" xr:uid="{D2B22DA2-059E-498C-9C10-484D584C409A}"/>
    <hyperlink ref="I50" r:id="rId42" xr:uid="{17C2BBB4-383F-43E2-8C2B-B84BEE2BA024}"/>
    <hyperlink ref="I86" r:id="rId43" xr:uid="{C5D9FF57-1B4F-4CE1-8284-721AFD536902}"/>
    <hyperlink ref="I87" r:id="rId44" xr:uid="{E84C848E-C473-46CF-BCDB-1E4E7FE96A81}"/>
    <hyperlink ref="E88" r:id="rId45" xr:uid="{08942B2D-8FAC-4AF6-AB9F-7B7474B56483}"/>
    <hyperlink ref="E89" r:id="rId46" xr:uid="{1F9ECB91-BC80-419B-A65C-B958D31F864B}"/>
    <hyperlink ref="H95" r:id="rId47" xr:uid="{920256AE-8D6B-403D-BFB5-E2E67B9543A7}"/>
    <hyperlink ref="I95" r:id="rId48" xr:uid="{DEB80936-D011-4F56-829F-DA66C35247F8}"/>
    <hyperlink ref="J95" r:id="rId49" xr:uid="{649A37C3-DE5A-48F8-A237-7873F18D616A}"/>
    <hyperlink ref="K95" r:id="rId50" xr:uid="{99D17399-D771-4305-A33B-D882B842B3B1}"/>
    <hyperlink ref="L95" r:id="rId51" xr:uid="{8C172577-0E34-43DD-8F42-C3B9C5969FDF}"/>
    <hyperlink ref="M95" r:id="rId52" xr:uid="{322CFC78-67FA-4FA2-9E02-16CE636BB1E3}"/>
    <hyperlink ref="N95" r:id="rId53" xr:uid="{4D6E6E4F-5101-4718-AB53-EEAB77BD601E}"/>
    <hyperlink ref="O95" r:id="rId54" xr:uid="{B971A1BE-BE31-4CB2-A1B1-14B8C2AED569}"/>
    <hyperlink ref="P95" r:id="rId55" xr:uid="{D1B2341C-45B2-4578-A8D4-C67F8C2C420A}"/>
    <hyperlink ref="K133" r:id="rId56" xr:uid="{E656F5F2-6ED2-441C-90A7-745E8E340C49}"/>
    <hyperlink ref="H163" r:id="rId57" xr:uid="{63E295EA-E967-4834-9378-F527ECC5C4F1}"/>
    <hyperlink ref="I163" r:id="rId58" xr:uid="{4C766AC1-6D81-4125-9AF6-A1A5FFA5CF5B}"/>
    <hyperlink ref="J163" r:id="rId59" xr:uid="{E407F4FB-9514-44C8-BA8A-DC7EDB945E0A}"/>
    <hyperlink ref="K163" r:id="rId60" xr:uid="{B51A392C-8EE0-4058-9349-114A0B1526AE}"/>
    <hyperlink ref="L163" r:id="rId61" xr:uid="{73346882-C0A3-4A28-9BE4-364E90B37D46}"/>
    <hyperlink ref="M163" r:id="rId62" xr:uid="{AEC1F1D5-CE97-4294-A5A7-B2828DC87B28}"/>
    <hyperlink ref="N163" r:id="rId63" xr:uid="{F2C0B080-B3E8-4023-A621-BB55D405F4AC}"/>
    <hyperlink ref="O163" r:id="rId64" xr:uid="{07B367FF-F003-4FAF-A525-82FEEC098520}"/>
    <hyperlink ref="P163" r:id="rId65" xr:uid="{F8762C86-FF20-4B8A-BD0D-F645622B808D}"/>
    <hyperlink ref="H164" r:id="rId66" xr:uid="{6E6C2DC3-000C-4AD7-9D2F-86950A17E98C}"/>
    <hyperlink ref="I164" r:id="rId67" xr:uid="{A99B5E26-24A2-4C54-AB74-DDBFE07EFD0B}"/>
    <hyperlink ref="J164" r:id="rId68" xr:uid="{724C3B5E-6542-42D8-BB2D-8B5706E27AC9}"/>
    <hyperlink ref="K164" r:id="rId69" xr:uid="{AFC3968B-56D0-4478-BFED-3BD5DCA8EB73}"/>
    <hyperlink ref="L164" r:id="rId70" xr:uid="{69E86355-87ED-4FFA-99A4-EE5B36016B87}"/>
    <hyperlink ref="M164" r:id="rId71" xr:uid="{9AED98F7-0401-4A6B-A26B-A35174AE4976}"/>
    <hyperlink ref="N164" r:id="rId72" xr:uid="{9EBE7792-4D4B-43EC-B49D-14AFD390796D}"/>
    <hyperlink ref="O164" r:id="rId73" xr:uid="{00BF3A6A-3A79-40BC-A63D-ECFF64504CE1}"/>
    <hyperlink ref="P164" r:id="rId74" xr:uid="{23513F21-C504-4156-99E0-1B140EE51AFE}"/>
    <hyperlink ref="H184" r:id="rId75" xr:uid="{077A4085-CF7C-49FD-BC09-377255971E84}"/>
    <hyperlink ref="I184" r:id="rId76" xr:uid="{41E8C114-81CB-4BAF-9614-6A1DF8E88603}"/>
    <hyperlink ref="J184" r:id="rId77" xr:uid="{446F7196-607E-4C20-9D62-E80F3EBB708A}"/>
    <hyperlink ref="K184" r:id="rId78" xr:uid="{915CCFB6-DB9D-493E-A930-5E385C28A55D}"/>
    <hyperlink ref="L184" r:id="rId79" xr:uid="{A4AF3AF0-BE0C-4420-9B2F-1686FFBA52F6}"/>
    <hyperlink ref="M184" r:id="rId80" xr:uid="{6E07F50D-AACF-41C1-A3C6-9DD53B023208}"/>
    <hyperlink ref="N184" r:id="rId81" xr:uid="{6EE0DF49-1053-41AC-91BE-7BB2E1773C08}"/>
    <hyperlink ref="P184" r:id="rId82" xr:uid="{26C2C3BF-2036-42AC-8D44-2BC250B4671D}"/>
    <hyperlink ref="H185" r:id="rId83" xr:uid="{E5D4A152-94A0-4319-B62A-EC270C16BA0B}"/>
    <hyperlink ref="I185" r:id="rId84" xr:uid="{9D7E2BEE-1018-4E22-976D-335375750AA9}"/>
    <hyperlink ref="J185" r:id="rId85" xr:uid="{505EFF69-B2FA-4988-94B8-3C9660793EC6}"/>
    <hyperlink ref="K185" r:id="rId86" xr:uid="{183F4731-89B3-4C20-B904-3AD93CE1E1FF}"/>
    <hyperlink ref="L185" r:id="rId87" xr:uid="{C2A719C1-76A0-4B8C-BC0A-ABD6CC18B413}"/>
    <hyperlink ref="M185" r:id="rId88" xr:uid="{81BD671A-BE8B-4D98-8F95-6EC997A67BFB}"/>
    <hyperlink ref="N185" r:id="rId89" xr:uid="{FA509AF7-FFF0-4E4B-A3B8-733DB8128D09}"/>
    <hyperlink ref="P185" r:id="rId90" xr:uid="{B5EB07A5-54A3-4C79-AA52-0041F146BA1B}"/>
    <hyperlink ref="E186" r:id="rId91" xr:uid="{33194571-DED2-4366-B20B-EF066FFEF00C}"/>
    <hyperlink ref="E187" r:id="rId92" xr:uid="{7C63C9EB-75C3-49D7-878D-C24B2F5B0AFF}"/>
    <hyperlink ref="E188" r:id="rId93" xr:uid="{1A19587A-83E5-4E3F-82D9-2DAD1199D3AE}"/>
    <hyperlink ref="H194" r:id="rId94" xr:uid="{7EB3AB75-A042-45D5-A2C4-64E5E1EDB0C2}"/>
    <hyperlink ref="I194" r:id="rId95" xr:uid="{DA01789C-088D-447B-8E68-760CD18C2B74}"/>
    <hyperlink ref="J194" r:id="rId96" xr:uid="{0DBAC4DB-89AF-4A32-BD71-9C9A326CCF44}"/>
    <hyperlink ref="K194" r:id="rId97" xr:uid="{9DA5BE4E-5580-44C6-BEF8-653A8BAD4C20}"/>
    <hyperlink ref="L194" r:id="rId98" xr:uid="{B9681550-82DA-43A5-80C9-508A9AF47FDB}"/>
    <hyperlink ref="M194" r:id="rId99" xr:uid="{2F4EEB57-B0BF-411D-8954-54991B105D63}"/>
    <hyperlink ref="N194" r:id="rId100" xr:uid="{DD49C3B1-465B-41E2-9FB4-C55236ABCBDF}"/>
    <hyperlink ref="O194" r:id="rId101" xr:uid="{C939EF74-A59D-4C0E-B596-BE5C2F12CA06}"/>
    <hyperlink ref="P194" r:id="rId102" xr:uid="{C0F28525-3CE0-4617-8B22-44A50E80FFCD}"/>
    <hyperlink ref="H198" r:id="rId103" xr:uid="{02CD70FA-BD0E-4FA6-AA0E-DCECE5BB45B9}"/>
    <hyperlink ref="I198" r:id="rId104" xr:uid="{A33CF9D5-8252-4330-A5BF-96CC65B629E1}"/>
    <hyperlink ref="J198" r:id="rId105" xr:uid="{920EA5BC-8F21-4C7C-9346-8B352D495B58}"/>
    <hyperlink ref="K198" r:id="rId106" xr:uid="{C4468B05-D6AD-424B-8A26-D30ECDB38354}"/>
    <hyperlink ref="L198" r:id="rId107" xr:uid="{EC96A944-BC36-472A-A8BF-A0619D2BE05A}"/>
    <hyperlink ref="M198" r:id="rId108" xr:uid="{F50659AA-77D7-4E55-A886-878B2757E1B6}"/>
    <hyperlink ref="N198" r:id="rId109" xr:uid="{FDE45A3C-6501-4C3F-9889-25E506480861}"/>
    <hyperlink ref="O198" r:id="rId110" xr:uid="{B58051AD-7455-4C1D-9996-2CB4D4CC537D}"/>
    <hyperlink ref="P198" r:id="rId111" xr:uid="{7EEBF77D-0EAC-4C15-9A50-D6031FBA3D20}"/>
    <hyperlink ref="H200" r:id="rId112" xr:uid="{7F404404-BC0C-4BB7-B1DD-15A62CFC12DB}"/>
    <hyperlink ref="I200" r:id="rId113" xr:uid="{FEC7663F-D2B1-44BD-ADF0-B9655E4A9C98}"/>
    <hyperlink ref="K200" r:id="rId114" xr:uid="{41DC5421-F511-4648-B256-D1EF2A57CEBE}"/>
    <hyperlink ref="L200" r:id="rId115" xr:uid="{1D17D662-2EC7-4A6B-8053-B6A0E1EA6DE3}"/>
    <hyperlink ref="M200" r:id="rId116" xr:uid="{6B3B5D57-E147-4512-B2F7-7F1C0499FFC6}"/>
    <hyperlink ref="N200" r:id="rId117" xr:uid="{3E2E5B0B-B621-48B4-8924-2C3B9705381F}"/>
    <hyperlink ref="O200" r:id="rId118" xr:uid="{5595E713-6203-465E-AF85-6FF2C294F110}"/>
    <hyperlink ref="P200" r:id="rId119" xr:uid="{371AAC66-990A-488C-9E2A-75C59528BE20}"/>
    <hyperlink ref="H201" r:id="rId120" xr:uid="{90D77A89-D89B-4B84-9BDF-C3A8688B1F23}"/>
    <hyperlink ref="I201" r:id="rId121" xr:uid="{DDDA9BAD-3A64-4F58-928C-D84410A51247}"/>
    <hyperlink ref="J201" r:id="rId122" xr:uid="{250B86BA-93B8-4A69-9D37-15A5CC8DF7A3}"/>
    <hyperlink ref="L201" r:id="rId123" xr:uid="{ACC5120F-62A1-4104-B018-07AAA04F7573}"/>
    <hyperlink ref="E202" r:id="rId124" xr:uid="{71CD9874-83AC-43C7-A3A3-9F462DEE2E77}"/>
    <hyperlink ref="E203" r:id="rId125" xr:uid="{E9CDCA19-2175-4487-94D5-5E3190D43C0B}"/>
    <hyperlink ref="I210" r:id="rId126" xr:uid="{8EDCFCFB-AB8A-4773-BF95-462EAAD8622A}"/>
    <hyperlink ref="I215" r:id="rId127" xr:uid="{AE47A424-7B26-49D1-904B-C7191AB196BB}"/>
    <hyperlink ref="I216" r:id="rId128" xr:uid="{8E13545C-4EBD-4FB9-BD2D-FEC73E0AEC7D}"/>
    <hyperlink ref="I220" r:id="rId129" xr:uid="{044FE047-4C9F-4660-BCD8-8118F0A1CD15}"/>
    <hyperlink ref="I221" r:id="rId130" xr:uid="{7E80DADE-8E02-4B79-A3E7-F7B493185FA5}"/>
    <hyperlink ref="E222" r:id="rId131" xr:uid="{9D331ECA-B13C-48C2-A4C6-DDE4DF10B817}"/>
    <hyperlink ref="I228" r:id="rId132" xr:uid="{77F2FB2D-D646-40C6-91FC-B98AC432401F}"/>
    <hyperlink ref="O228" r:id="rId133" xr:uid="{9107A34E-5741-4BB1-B61B-2B0317F88F2E}"/>
    <hyperlink ref="I240" r:id="rId134" xr:uid="{F5059AB4-0DB7-4058-A188-F629D8F0CB34}"/>
    <hyperlink ref="O240" r:id="rId135" xr:uid="{E2E7250F-053A-4B96-A286-6F05BBD86882}"/>
    <hyperlink ref="E248" r:id="rId136" xr:uid="{261B8967-7843-4E03-8933-873D302F8A52}"/>
  </hyperlinks>
  <pageMargins left="0.7" right="0.7" top="0.75" bottom="0.75" header="0.3" footer="0.3"/>
  <legacyDrawing r:id="rId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120C-EEB3-451B-8D9B-14C4D24A1AD6}">
  <dimension ref="A1:U22"/>
  <sheetViews>
    <sheetView workbookViewId="0">
      <selection sqref="A1:U22"/>
    </sheetView>
  </sheetViews>
  <sheetFormatPr defaultRowHeight="14.4" x14ac:dyDescent="0.3"/>
  <sheetData>
    <row r="1" spans="1:21" x14ac:dyDescent="0.3">
      <c r="A1" s="78" t="s">
        <v>843</v>
      </c>
      <c r="B1" s="79"/>
      <c r="C1" s="78" t="s">
        <v>844</v>
      </c>
      <c r="D1" s="78" t="s">
        <v>845</v>
      </c>
      <c r="E1" s="79"/>
      <c r="F1" s="79"/>
      <c r="G1" s="79"/>
      <c r="H1" s="79"/>
      <c r="I1" s="79"/>
      <c r="J1" s="80"/>
      <c r="K1" s="79"/>
      <c r="L1" s="79"/>
      <c r="M1" s="79"/>
      <c r="N1" s="79"/>
      <c r="O1" s="79"/>
      <c r="P1" s="79"/>
      <c r="Q1" s="79"/>
      <c r="R1" s="79"/>
      <c r="S1" s="79"/>
      <c r="T1" s="79"/>
      <c r="U1" s="80"/>
    </row>
    <row r="2" spans="1:21" x14ac:dyDescent="0.3">
      <c r="A2" s="78" t="s">
        <v>846</v>
      </c>
      <c r="B2" s="79"/>
      <c r="C2" s="78" t="s">
        <v>844</v>
      </c>
      <c r="D2" s="78" t="s">
        <v>847</v>
      </c>
      <c r="E2" s="79"/>
      <c r="F2" s="79"/>
      <c r="G2" s="79"/>
      <c r="H2" s="79"/>
      <c r="I2" s="79"/>
      <c r="J2" s="80"/>
      <c r="K2" s="79"/>
      <c r="L2" s="79"/>
      <c r="M2" s="79"/>
      <c r="N2" s="79"/>
      <c r="O2" s="79"/>
      <c r="P2" s="79"/>
      <c r="Q2" s="79"/>
      <c r="R2" s="79"/>
      <c r="S2" s="79"/>
      <c r="T2" s="79"/>
      <c r="U2" s="80"/>
    </row>
    <row r="3" spans="1:21" x14ac:dyDescent="0.3">
      <c r="A3" s="78" t="s">
        <v>848</v>
      </c>
      <c r="B3" s="79"/>
      <c r="C3" s="78" t="s">
        <v>844</v>
      </c>
      <c r="D3" s="78" t="s">
        <v>849</v>
      </c>
      <c r="E3" s="79"/>
      <c r="F3" s="79"/>
      <c r="G3" s="79"/>
      <c r="H3" s="79"/>
      <c r="I3" s="79"/>
      <c r="J3" s="80"/>
      <c r="K3" s="79"/>
      <c r="L3" s="79"/>
      <c r="M3" s="79"/>
      <c r="N3" s="79"/>
      <c r="O3" s="79"/>
      <c r="P3" s="79"/>
      <c r="Q3" s="79"/>
      <c r="R3" s="79"/>
      <c r="S3" s="79"/>
      <c r="T3" s="79"/>
      <c r="U3" s="80"/>
    </row>
    <row r="4" spans="1:21" x14ac:dyDescent="0.3">
      <c r="A4" s="78" t="s">
        <v>850</v>
      </c>
      <c r="B4" s="79"/>
      <c r="C4" s="78" t="s">
        <v>844</v>
      </c>
      <c r="D4" s="78" t="s">
        <v>851</v>
      </c>
      <c r="E4" s="79"/>
      <c r="F4" s="79"/>
      <c r="G4" s="79"/>
      <c r="H4" s="79"/>
      <c r="I4" s="79"/>
      <c r="J4" s="81"/>
      <c r="K4" s="79"/>
      <c r="L4" s="79"/>
      <c r="M4" s="79"/>
      <c r="N4" s="79"/>
      <c r="O4" s="79"/>
      <c r="P4" s="79"/>
      <c r="Q4" s="79"/>
      <c r="R4" s="79"/>
      <c r="S4" s="79"/>
      <c r="T4" s="79"/>
      <c r="U4" s="80"/>
    </row>
    <row r="5" spans="1:21" x14ac:dyDescent="0.3">
      <c r="A5" s="78" t="s">
        <v>852</v>
      </c>
      <c r="B5" s="79"/>
      <c r="C5" s="78" t="s">
        <v>844</v>
      </c>
      <c r="D5" s="78" t="s">
        <v>853</v>
      </c>
      <c r="E5" s="79"/>
      <c r="F5" s="79"/>
      <c r="G5" s="79"/>
      <c r="H5" s="79"/>
      <c r="I5" s="79"/>
      <c r="J5" s="80"/>
      <c r="K5" s="79"/>
      <c r="L5" s="79"/>
      <c r="M5" s="79"/>
      <c r="N5" s="79"/>
      <c r="O5" s="79"/>
      <c r="P5" s="79"/>
      <c r="Q5" s="79"/>
      <c r="R5" s="79"/>
      <c r="S5" s="79"/>
      <c r="T5" s="79"/>
      <c r="U5" s="80"/>
    </row>
    <row r="6" spans="1:21" x14ac:dyDescent="0.3">
      <c r="A6" s="78" t="s">
        <v>854</v>
      </c>
      <c r="B6" s="79"/>
      <c r="C6" s="78" t="s">
        <v>844</v>
      </c>
      <c r="D6" s="78" t="s">
        <v>855</v>
      </c>
      <c r="E6" s="79"/>
      <c r="F6" s="79"/>
      <c r="G6" s="79"/>
      <c r="H6" s="79"/>
      <c r="I6" s="79"/>
      <c r="J6" s="80"/>
      <c r="K6" s="79"/>
      <c r="L6" s="79"/>
      <c r="M6" s="79"/>
      <c r="N6" s="79"/>
      <c r="O6" s="79"/>
      <c r="P6" s="79"/>
      <c r="Q6" s="79"/>
      <c r="R6" s="79"/>
      <c r="S6" s="79"/>
      <c r="T6" s="79"/>
      <c r="U6" s="80"/>
    </row>
    <row r="7" spans="1:21" x14ac:dyDescent="0.3">
      <c r="A7" s="78" t="s">
        <v>856</v>
      </c>
      <c r="B7" s="79"/>
      <c r="C7" s="78" t="s">
        <v>844</v>
      </c>
      <c r="D7" s="82">
        <v>45940.528483796297</v>
      </c>
      <c r="E7" s="79"/>
      <c r="F7" s="79"/>
      <c r="G7" s="79"/>
      <c r="H7" s="79"/>
      <c r="I7" s="79"/>
      <c r="J7" s="80"/>
      <c r="K7" s="79"/>
      <c r="L7" s="79"/>
      <c r="M7" s="79"/>
      <c r="N7" s="79"/>
      <c r="O7" s="79"/>
      <c r="P7" s="79"/>
      <c r="Q7" s="79"/>
      <c r="R7" s="79"/>
      <c r="S7" s="79"/>
      <c r="T7" s="79"/>
      <c r="U7" s="80"/>
    </row>
    <row r="8" spans="1:21" ht="138" x14ac:dyDescent="0.3">
      <c r="A8" s="79"/>
      <c r="B8" s="79"/>
      <c r="C8" s="79"/>
      <c r="D8" s="79"/>
      <c r="E8" s="79"/>
      <c r="F8" s="79"/>
      <c r="G8" s="79"/>
      <c r="H8" s="79"/>
      <c r="I8" s="79"/>
      <c r="J8" s="80" t="s">
        <v>857</v>
      </c>
      <c r="K8" s="80" t="s">
        <v>858</v>
      </c>
      <c r="L8" s="80" t="s">
        <v>859</v>
      </c>
      <c r="M8" s="79"/>
      <c r="N8" s="79"/>
      <c r="O8" s="80" t="s">
        <v>860</v>
      </c>
      <c r="P8" s="79"/>
      <c r="Q8" s="79"/>
      <c r="R8" s="79"/>
      <c r="S8" s="79"/>
      <c r="T8" s="80" t="s">
        <v>861</v>
      </c>
      <c r="U8" s="80"/>
    </row>
    <row r="9" spans="1:21" x14ac:dyDescent="0.3">
      <c r="A9" s="83" t="s">
        <v>1</v>
      </c>
      <c r="B9" s="83" t="s">
        <v>862</v>
      </c>
      <c r="C9" s="83" t="s">
        <v>863</v>
      </c>
      <c r="D9" s="83" t="s">
        <v>864</v>
      </c>
      <c r="E9" s="83" t="s">
        <v>865</v>
      </c>
      <c r="F9" s="83" t="s">
        <v>866</v>
      </c>
      <c r="G9" s="83" t="s">
        <v>867</v>
      </c>
      <c r="H9" s="83" t="s">
        <v>868</v>
      </c>
      <c r="I9" s="83" t="s">
        <v>869</v>
      </c>
      <c r="J9" s="83" t="s">
        <v>870</v>
      </c>
      <c r="K9" s="83" t="s">
        <v>871</v>
      </c>
      <c r="L9" s="84" t="s">
        <v>872</v>
      </c>
      <c r="M9" s="17"/>
      <c r="N9" s="17"/>
      <c r="O9" s="17"/>
      <c r="P9" s="84" t="s">
        <v>873</v>
      </c>
      <c r="Q9" s="17"/>
      <c r="R9" s="17"/>
      <c r="S9" s="17"/>
      <c r="T9" s="83" t="s">
        <v>172</v>
      </c>
      <c r="U9" s="85" t="s">
        <v>874</v>
      </c>
    </row>
    <row r="10" spans="1:21" ht="69" x14ac:dyDescent="0.3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7" t="s">
        <v>875</v>
      </c>
      <c r="M10" s="87" t="s">
        <v>876</v>
      </c>
      <c r="N10" s="87" t="s">
        <v>877</v>
      </c>
      <c r="O10" s="87" t="s">
        <v>872</v>
      </c>
      <c r="P10" s="87" t="s">
        <v>878</v>
      </c>
      <c r="Q10" s="87" t="s">
        <v>879</v>
      </c>
      <c r="R10" s="87" t="s">
        <v>880</v>
      </c>
      <c r="S10" s="87" t="s">
        <v>873</v>
      </c>
      <c r="T10" s="86"/>
      <c r="U10" s="86"/>
    </row>
    <row r="11" spans="1:21" ht="409.6" x14ac:dyDescent="0.3">
      <c r="A11" s="88">
        <v>1</v>
      </c>
      <c r="B11" s="88" t="s">
        <v>881</v>
      </c>
      <c r="C11" s="88">
        <v>1</v>
      </c>
      <c r="D11" s="88" t="s">
        <v>35</v>
      </c>
      <c r="E11" s="89" t="s">
        <v>344</v>
      </c>
      <c r="F11" s="88" t="s">
        <v>851</v>
      </c>
      <c r="G11" s="90"/>
      <c r="H11" s="90"/>
      <c r="I11" s="91" t="s">
        <v>882</v>
      </c>
      <c r="J11" s="92">
        <v>45818</v>
      </c>
      <c r="K11" s="92">
        <v>45929</v>
      </c>
      <c r="L11" s="93">
        <v>0</v>
      </c>
      <c r="M11" s="93">
        <v>1</v>
      </c>
      <c r="N11" s="93">
        <v>1</v>
      </c>
      <c r="O11" s="93">
        <v>0</v>
      </c>
      <c r="P11" s="93">
        <v>1</v>
      </c>
      <c r="Q11" s="93">
        <v>0</v>
      </c>
      <c r="R11" s="93"/>
      <c r="S11" s="93">
        <v>0</v>
      </c>
      <c r="T11" s="93">
        <v>0</v>
      </c>
      <c r="U11" s="91" t="s">
        <v>883</v>
      </c>
    </row>
    <row r="12" spans="1:21" ht="409.6" x14ac:dyDescent="0.3">
      <c r="A12" s="88">
        <v>4</v>
      </c>
      <c r="B12" s="88" t="s">
        <v>881</v>
      </c>
      <c r="C12" s="88">
        <v>1</v>
      </c>
      <c r="D12" s="88" t="s">
        <v>884</v>
      </c>
      <c r="E12" s="89" t="s">
        <v>885</v>
      </c>
      <c r="F12" s="88" t="s">
        <v>851</v>
      </c>
      <c r="G12" s="90"/>
      <c r="H12" s="90"/>
      <c r="I12" s="91" t="s">
        <v>886</v>
      </c>
      <c r="J12" s="91" t="s">
        <v>887</v>
      </c>
      <c r="K12" s="92">
        <v>45925</v>
      </c>
      <c r="L12" s="93">
        <v>0</v>
      </c>
      <c r="M12" s="93">
        <v>0</v>
      </c>
      <c r="N12" s="93">
        <v>0</v>
      </c>
      <c r="O12" s="93">
        <v>0</v>
      </c>
      <c r="P12" s="93">
        <v>1</v>
      </c>
      <c r="Q12" s="93">
        <v>0</v>
      </c>
      <c r="R12" s="93"/>
      <c r="S12" s="93">
        <v>0</v>
      </c>
      <c r="T12" s="93">
        <v>0</v>
      </c>
      <c r="U12" s="91" t="s">
        <v>888</v>
      </c>
    </row>
    <row r="13" spans="1:21" ht="409.6" x14ac:dyDescent="0.3">
      <c r="A13" s="88">
        <v>2</v>
      </c>
      <c r="B13" s="88" t="s">
        <v>881</v>
      </c>
      <c r="C13" s="88">
        <v>1</v>
      </c>
      <c r="D13" s="88" t="s">
        <v>36</v>
      </c>
      <c r="E13" s="89" t="s">
        <v>889</v>
      </c>
      <c r="F13" s="88" t="s">
        <v>851</v>
      </c>
      <c r="G13" s="90"/>
      <c r="H13" s="90"/>
      <c r="I13" s="91" t="s">
        <v>882</v>
      </c>
      <c r="J13" s="91" t="s">
        <v>890</v>
      </c>
      <c r="K13" s="92">
        <v>45925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/>
      <c r="S13" s="93">
        <v>0</v>
      </c>
      <c r="T13" s="93">
        <v>0</v>
      </c>
      <c r="U13" s="91" t="s">
        <v>891</v>
      </c>
    </row>
    <row r="14" spans="1:21" ht="409.6" x14ac:dyDescent="0.3">
      <c r="A14" s="88">
        <v>3</v>
      </c>
      <c r="B14" s="88" t="s">
        <v>881</v>
      </c>
      <c r="C14" s="88">
        <v>1</v>
      </c>
      <c r="D14" s="88" t="s">
        <v>37</v>
      </c>
      <c r="E14" s="89" t="s">
        <v>345</v>
      </c>
      <c r="F14" s="88" t="s">
        <v>851</v>
      </c>
      <c r="G14" s="90"/>
      <c r="H14" s="90"/>
      <c r="I14" s="91" t="s">
        <v>681</v>
      </c>
      <c r="J14" s="91" t="s">
        <v>892</v>
      </c>
      <c r="K14" s="92">
        <v>45920</v>
      </c>
      <c r="L14" s="93">
        <v>0</v>
      </c>
      <c r="M14" s="93">
        <v>0</v>
      </c>
      <c r="N14" s="93">
        <v>0</v>
      </c>
      <c r="O14" s="93">
        <v>0</v>
      </c>
      <c r="P14" s="93">
        <v>1</v>
      </c>
      <c r="Q14" s="93">
        <v>0</v>
      </c>
      <c r="R14" s="93"/>
      <c r="S14" s="93">
        <v>0</v>
      </c>
      <c r="T14" s="93">
        <v>0</v>
      </c>
      <c r="U14" s="91" t="s">
        <v>893</v>
      </c>
    </row>
    <row r="15" spans="1:21" ht="409.6" x14ac:dyDescent="0.3">
      <c r="A15" s="88">
        <v>5</v>
      </c>
      <c r="B15" s="88" t="s">
        <v>881</v>
      </c>
      <c r="C15" s="88">
        <v>1</v>
      </c>
      <c r="D15" s="91" t="s">
        <v>38</v>
      </c>
      <c r="E15" s="89" t="s">
        <v>894</v>
      </c>
      <c r="F15" s="88" t="s">
        <v>851</v>
      </c>
      <c r="G15" s="90"/>
      <c r="H15" s="90"/>
      <c r="I15" s="91" t="s">
        <v>681</v>
      </c>
      <c r="J15" s="92">
        <v>45922</v>
      </c>
      <c r="K15" s="92">
        <v>45929</v>
      </c>
      <c r="L15" s="93">
        <v>0</v>
      </c>
      <c r="M15" s="93">
        <v>1</v>
      </c>
      <c r="N15" s="93">
        <v>0</v>
      </c>
      <c r="O15" s="93">
        <v>0</v>
      </c>
      <c r="P15" s="93">
        <v>0</v>
      </c>
      <c r="Q15" s="93">
        <v>1</v>
      </c>
      <c r="R15" s="93"/>
      <c r="S15" s="93">
        <v>0</v>
      </c>
      <c r="T15" s="93">
        <v>0</v>
      </c>
      <c r="U15" s="91" t="s">
        <v>895</v>
      </c>
    </row>
    <row r="16" spans="1:21" ht="409.6" x14ac:dyDescent="0.3">
      <c r="A16" s="94">
        <v>6</v>
      </c>
      <c r="B16" s="95" t="s">
        <v>881</v>
      </c>
      <c r="C16" s="96">
        <v>1</v>
      </c>
      <c r="D16" s="97" t="s">
        <v>896</v>
      </c>
      <c r="E16" s="98" t="s">
        <v>346</v>
      </c>
      <c r="F16" s="95" t="s">
        <v>851</v>
      </c>
      <c r="G16" s="99"/>
      <c r="H16" s="99"/>
      <c r="I16" s="100" t="s">
        <v>681</v>
      </c>
      <c r="J16" s="100" t="s">
        <v>897</v>
      </c>
      <c r="K16" s="101">
        <v>45929</v>
      </c>
      <c r="L16" s="95">
        <v>0</v>
      </c>
      <c r="M16" s="95">
        <v>1</v>
      </c>
      <c r="N16" s="95">
        <v>1</v>
      </c>
      <c r="O16" s="96">
        <v>0</v>
      </c>
      <c r="P16" s="95">
        <v>1</v>
      </c>
      <c r="Q16" s="95">
        <v>0</v>
      </c>
      <c r="R16" s="96"/>
      <c r="S16" s="96">
        <v>0</v>
      </c>
      <c r="T16" s="96">
        <v>0</v>
      </c>
      <c r="U16" s="100" t="s">
        <v>898</v>
      </c>
    </row>
    <row r="17" spans="1:21" ht="409.6" x14ac:dyDescent="0.3">
      <c r="A17" s="94">
        <v>7</v>
      </c>
      <c r="B17" s="95" t="s">
        <v>881</v>
      </c>
      <c r="C17" s="96">
        <v>1</v>
      </c>
      <c r="D17" s="97" t="s">
        <v>188</v>
      </c>
      <c r="E17" s="98" t="s">
        <v>899</v>
      </c>
      <c r="F17" s="95" t="s">
        <v>851</v>
      </c>
      <c r="G17" s="99"/>
      <c r="H17" s="99"/>
      <c r="I17" s="100" t="s">
        <v>681</v>
      </c>
      <c r="J17" s="102">
        <v>45909</v>
      </c>
      <c r="K17" s="101">
        <v>45929</v>
      </c>
      <c r="L17" s="95">
        <v>0</v>
      </c>
      <c r="M17" s="95">
        <v>1</v>
      </c>
      <c r="N17" s="95">
        <v>0</v>
      </c>
      <c r="O17" s="96">
        <v>0</v>
      </c>
      <c r="P17" s="95">
        <v>1</v>
      </c>
      <c r="Q17" s="95">
        <v>0</v>
      </c>
      <c r="R17" s="96"/>
      <c r="S17" s="96">
        <v>0</v>
      </c>
      <c r="T17" s="96">
        <v>0</v>
      </c>
      <c r="U17" s="100" t="s">
        <v>900</v>
      </c>
    </row>
    <row r="18" spans="1:21" ht="55.2" x14ac:dyDescent="0.3">
      <c r="A18" s="103">
        <v>8</v>
      </c>
      <c r="B18" s="95" t="s">
        <v>881</v>
      </c>
      <c r="C18" s="96">
        <v>1</v>
      </c>
      <c r="D18" s="94" t="s">
        <v>364</v>
      </c>
      <c r="E18" s="104">
        <v>8234567895</v>
      </c>
      <c r="F18" s="95" t="s">
        <v>851</v>
      </c>
      <c r="G18" s="99"/>
      <c r="H18" s="99"/>
      <c r="I18" s="100" t="s">
        <v>882</v>
      </c>
      <c r="J18" s="105">
        <v>45912</v>
      </c>
      <c r="K18" s="101">
        <v>45929</v>
      </c>
      <c r="L18" s="95">
        <v>0</v>
      </c>
      <c r="M18" s="95">
        <v>0</v>
      </c>
      <c r="N18" s="95">
        <v>0</v>
      </c>
      <c r="O18" s="96">
        <v>0</v>
      </c>
      <c r="P18" s="95">
        <v>0</v>
      </c>
      <c r="Q18" s="95">
        <v>1</v>
      </c>
      <c r="R18" s="96"/>
      <c r="S18" s="96">
        <v>0</v>
      </c>
      <c r="T18" s="96">
        <v>0</v>
      </c>
      <c r="U18" s="98" t="s">
        <v>901</v>
      </c>
    </row>
    <row r="19" spans="1:21" ht="55.2" x14ac:dyDescent="0.3">
      <c r="A19" s="103">
        <v>9</v>
      </c>
      <c r="B19" s="95" t="s">
        <v>881</v>
      </c>
      <c r="C19" s="96">
        <v>1</v>
      </c>
      <c r="D19" s="94" t="s">
        <v>365</v>
      </c>
      <c r="E19" s="104">
        <v>8123456789</v>
      </c>
      <c r="F19" s="95" t="s">
        <v>851</v>
      </c>
      <c r="G19" s="99"/>
      <c r="H19" s="99"/>
      <c r="I19" s="100" t="s">
        <v>882</v>
      </c>
      <c r="J19" s="106">
        <v>45905</v>
      </c>
      <c r="K19" s="101">
        <v>45929</v>
      </c>
      <c r="L19" s="95">
        <v>0</v>
      </c>
      <c r="M19" s="95">
        <v>0</v>
      </c>
      <c r="N19" s="95">
        <v>0</v>
      </c>
      <c r="O19" s="96">
        <v>0</v>
      </c>
      <c r="P19" s="95">
        <v>1</v>
      </c>
      <c r="Q19" s="95">
        <v>0</v>
      </c>
      <c r="R19" s="96"/>
      <c r="S19" s="96">
        <v>0</v>
      </c>
      <c r="T19" s="96">
        <v>0</v>
      </c>
      <c r="U19" s="98" t="s">
        <v>902</v>
      </c>
    </row>
    <row r="20" spans="1:21" ht="55.2" x14ac:dyDescent="0.3">
      <c r="A20" s="103">
        <v>10</v>
      </c>
      <c r="B20" s="95" t="s">
        <v>881</v>
      </c>
      <c r="C20" s="96">
        <v>1</v>
      </c>
      <c r="D20" s="94" t="s">
        <v>366</v>
      </c>
      <c r="E20" s="104">
        <v>8234567892</v>
      </c>
      <c r="F20" s="95" t="s">
        <v>851</v>
      </c>
      <c r="G20" s="99"/>
      <c r="H20" s="99"/>
      <c r="I20" s="100" t="s">
        <v>882</v>
      </c>
      <c r="J20" s="105">
        <v>45911</v>
      </c>
      <c r="K20" s="101">
        <v>45929</v>
      </c>
      <c r="L20" s="95">
        <v>0</v>
      </c>
      <c r="M20" s="95">
        <v>0</v>
      </c>
      <c r="N20" s="95">
        <v>0</v>
      </c>
      <c r="O20" s="96">
        <v>0</v>
      </c>
      <c r="P20" s="95">
        <v>1</v>
      </c>
      <c r="Q20" s="95">
        <v>0</v>
      </c>
      <c r="R20" s="96"/>
      <c r="S20" s="96">
        <v>0</v>
      </c>
      <c r="T20" s="96">
        <v>0</v>
      </c>
      <c r="U20" s="98" t="s">
        <v>903</v>
      </c>
    </row>
    <row r="21" spans="1:21" x14ac:dyDescent="0.3">
      <c r="A21" s="107" t="s">
        <v>904</v>
      </c>
      <c r="B21" s="17"/>
      <c r="C21" s="108">
        <f>ROWS(A11:A20)</f>
        <v>10</v>
      </c>
      <c r="D21" s="78" t="s">
        <v>172</v>
      </c>
      <c r="E21" s="109"/>
      <c r="F21" s="17"/>
      <c r="G21" s="17"/>
      <c r="H21" s="17"/>
      <c r="I21" s="17"/>
      <c r="J21" s="17"/>
      <c r="K21" s="17"/>
      <c r="L21" s="17"/>
      <c r="M21" s="17"/>
      <c r="N21" s="17"/>
      <c r="O21" s="108">
        <f>SUM(O11:O20)</f>
        <v>0</v>
      </c>
      <c r="P21" s="79"/>
      <c r="Q21" s="79"/>
      <c r="R21" s="108"/>
      <c r="S21" s="108">
        <f t="shared" ref="S21:T21" si="0">SUM(S11:S20)</f>
        <v>0</v>
      </c>
      <c r="T21" s="108">
        <f t="shared" si="0"/>
        <v>0</v>
      </c>
      <c r="U21" s="80"/>
    </row>
    <row r="22" spans="1:21" x14ac:dyDescent="0.3">
      <c r="A22" s="107" t="s">
        <v>904</v>
      </c>
      <c r="B22" s="17"/>
      <c r="C22" s="108">
        <f>ROWS(A11:A20)</f>
        <v>10</v>
      </c>
      <c r="D22" s="78" t="s">
        <v>905</v>
      </c>
      <c r="E22" s="109"/>
      <c r="F22" s="17"/>
      <c r="G22" s="17"/>
      <c r="H22" s="17"/>
      <c r="I22" s="17"/>
      <c r="J22" s="17"/>
      <c r="K22" s="17"/>
      <c r="L22" s="17"/>
      <c r="M22" s="17"/>
      <c r="N22" s="17"/>
      <c r="O22" s="108">
        <f>(O21/C21)*100</f>
        <v>0</v>
      </c>
      <c r="P22" s="79"/>
      <c r="Q22" s="79"/>
      <c r="R22" s="108"/>
      <c r="S22" s="108">
        <f>(S21/C21)*100</f>
        <v>0</v>
      </c>
      <c r="T22" s="110">
        <f>(T21/C21)*100</f>
        <v>0</v>
      </c>
      <c r="U22" s="80"/>
    </row>
  </sheetData>
  <mergeCells count="19">
    <mergeCell ref="P9:S9"/>
    <mergeCell ref="T9:T10"/>
    <mergeCell ref="U9:U10"/>
    <mergeCell ref="A21:B21"/>
    <mergeCell ref="E21:N21"/>
    <mergeCell ref="A22:B22"/>
    <mergeCell ref="E22:N22"/>
    <mergeCell ref="G9:G10"/>
    <mergeCell ref="H9:H10"/>
    <mergeCell ref="I9:I10"/>
    <mergeCell ref="J9:J10"/>
    <mergeCell ref="K9:K10"/>
    <mergeCell ref="L9:O9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E71E-746D-4BE5-B61B-63E036A36416}">
  <dimension ref="A1:C13"/>
  <sheetViews>
    <sheetView workbookViewId="0">
      <selection sqref="A1:C13"/>
    </sheetView>
  </sheetViews>
  <sheetFormatPr defaultRowHeight="14.4" x14ac:dyDescent="0.3"/>
  <sheetData>
    <row r="1" spans="1:3" ht="28.8" x14ac:dyDescent="0.3">
      <c r="A1" s="111" t="s">
        <v>906</v>
      </c>
      <c r="B1" s="111" t="s">
        <v>907</v>
      </c>
      <c r="C1" s="112" t="s">
        <v>908</v>
      </c>
    </row>
    <row r="2" spans="1:3" ht="216" x14ac:dyDescent="0.3">
      <c r="A2" s="113">
        <v>1</v>
      </c>
      <c r="B2" s="114" t="s">
        <v>909</v>
      </c>
      <c r="C2" s="115" t="s">
        <v>1</v>
      </c>
    </row>
    <row r="3" spans="1:3" ht="216" x14ac:dyDescent="0.3">
      <c r="A3" s="113">
        <v>2</v>
      </c>
      <c r="B3" s="114" t="s">
        <v>910</v>
      </c>
      <c r="C3" s="115" t="s">
        <v>1</v>
      </c>
    </row>
    <row r="4" spans="1:3" ht="230.4" x14ac:dyDescent="0.3">
      <c r="A4" s="113">
        <v>3</v>
      </c>
      <c r="B4" s="114" t="s">
        <v>911</v>
      </c>
      <c r="C4" s="115" t="s">
        <v>1</v>
      </c>
    </row>
    <row r="5" spans="1:3" ht="201.6" x14ac:dyDescent="0.3">
      <c r="A5" s="113">
        <v>4</v>
      </c>
      <c r="B5" s="114" t="s">
        <v>912</v>
      </c>
      <c r="C5" s="115" t="s">
        <v>1</v>
      </c>
    </row>
    <row r="6" spans="1:3" ht="158.4" x14ac:dyDescent="0.3">
      <c r="A6" s="113">
        <v>5</v>
      </c>
      <c r="B6" s="114" t="s">
        <v>913</v>
      </c>
      <c r="C6" s="115" t="s">
        <v>1</v>
      </c>
    </row>
    <row r="7" spans="1:3" ht="115.2" x14ac:dyDescent="0.3">
      <c r="A7" s="113">
        <v>6</v>
      </c>
      <c r="B7" s="114" t="s">
        <v>914</v>
      </c>
      <c r="C7" s="115" t="s">
        <v>1</v>
      </c>
    </row>
    <row r="8" spans="1:3" ht="201.6" x14ac:dyDescent="0.3">
      <c r="A8" s="113">
        <v>7</v>
      </c>
      <c r="B8" s="114" t="s">
        <v>915</v>
      </c>
      <c r="C8" s="115" t="s">
        <v>1</v>
      </c>
    </row>
    <row r="9" spans="1:3" ht="100.8" x14ac:dyDescent="0.3">
      <c r="A9" s="113">
        <v>8</v>
      </c>
      <c r="B9" s="114" t="s">
        <v>916</v>
      </c>
      <c r="C9" s="115" t="s">
        <v>1</v>
      </c>
    </row>
    <row r="10" spans="1:3" ht="388.8" x14ac:dyDescent="0.3">
      <c r="A10" s="113">
        <v>9</v>
      </c>
      <c r="B10" s="114" t="s">
        <v>917</v>
      </c>
      <c r="C10" s="116" t="s">
        <v>881</v>
      </c>
    </row>
    <row r="11" spans="1:3" ht="129.6" x14ac:dyDescent="0.3">
      <c r="A11" s="113">
        <v>10</v>
      </c>
      <c r="B11" s="114" t="s">
        <v>918</v>
      </c>
      <c r="C11" s="116" t="s">
        <v>881</v>
      </c>
    </row>
    <row r="12" spans="1:3" ht="115.2" x14ac:dyDescent="0.3">
      <c r="A12" s="113">
        <v>11</v>
      </c>
      <c r="B12" s="114" t="s">
        <v>919</v>
      </c>
      <c r="C12" s="116" t="s">
        <v>881</v>
      </c>
    </row>
    <row r="13" spans="1:3" ht="216" x14ac:dyDescent="0.3">
      <c r="A13" s="113">
        <v>12</v>
      </c>
      <c r="B13" s="114" t="s">
        <v>920</v>
      </c>
      <c r="C13" s="11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F535-4864-42F3-90D0-365FF96A3AAC}">
  <dimension ref="A1:D16"/>
  <sheetViews>
    <sheetView workbookViewId="0">
      <selection sqref="A1:D16"/>
    </sheetView>
  </sheetViews>
  <sheetFormatPr defaultRowHeight="14.4" x14ac:dyDescent="0.3"/>
  <sheetData>
    <row r="1" spans="1:4" ht="100.8" x14ac:dyDescent="0.3">
      <c r="A1" s="117" t="s">
        <v>1</v>
      </c>
      <c r="B1" s="117" t="s">
        <v>921</v>
      </c>
      <c r="C1" s="117" t="s">
        <v>922</v>
      </c>
      <c r="D1" s="117" t="s">
        <v>923</v>
      </c>
    </row>
    <row r="2" spans="1:4" ht="72" x14ac:dyDescent="0.3">
      <c r="A2" s="114">
        <v>1</v>
      </c>
      <c r="B2" s="114" t="s">
        <v>924</v>
      </c>
      <c r="C2" s="114" t="s">
        <v>925</v>
      </c>
      <c r="D2" s="114" t="s">
        <v>926</v>
      </c>
    </row>
    <row r="3" spans="1:4" ht="158.4" x14ac:dyDescent="0.3">
      <c r="A3" s="114">
        <v>2</v>
      </c>
      <c r="B3" s="114" t="s">
        <v>924</v>
      </c>
      <c r="C3" s="114" t="s">
        <v>927</v>
      </c>
      <c r="D3" s="114" t="s">
        <v>928</v>
      </c>
    </row>
    <row r="4" spans="1:4" ht="100.8" x14ac:dyDescent="0.3">
      <c r="A4" s="114">
        <v>3</v>
      </c>
      <c r="B4" s="114" t="s">
        <v>924</v>
      </c>
      <c r="C4" s="114" t="s">
        <v>929</v>
      </c>
      <c r="D4" s="114" t="s">
        <v>930</v>
      </c>
    </row>
    <row r="5" spans="1:4" ht="43.2" x14ac:dyDescent="0.3">
      <c r="A5" s="114">
        <v>4</v>
      </c>
      <c r="B5" s="114" t="s">
        <v>931</v>
      </c>
      <c r="C5" s="114" t="s">
        <v>932</v>
      </c>
      <c r="D5" s="114" t="s">
        <v>933</v>
      </c>
    </row>
    <row r="6" spans="1:4" ht="100.8" x14ac:dyDescent="0.3">
      <c r="A6" s="114">
        <v>5</v>
      </c>
      <c r="B6" s="114" t="s">
        <v>924</v>
      </c>
      <c r="C6" s="114" t="s">
        <v>934</v>
      </c>
      <c r="D6" s="114" t="s">
        <v>935</v>
      </c>
    </row>
    <row r="7" spans="1:4" ht="72" x14ac:dyDescent="0.3">
      <c r="A7" s="114">
        <v>6</v>
      </c>
      <c r="B7" s="114" t="s">
        <v>924</v>
      </c>
      <c r="C7" s="114" t="s">
        <v>936</v>
      </c>
      <c r="D7" s="114" t="s">
        <v>937</v>
      </c>
    </row>
    <row r="8" spans="1:4" ht="72" x14ac:dyDescent="0.3">
      <c r="A8" s="114">
        <v>7</v>
      </c>
      <c r="B8" s="114" t="s">
        <v>924</v>
      </c>
      <c r="C8" s="114" t="s">
        <v>938</v>
      </c>
      <c r="D8" s="114" t="s">
        <v>939</v>
      </c>
    </row>
    <row r="9" spans="1:4" ht="86.4" x14ac:dyDescent="0.3">
      <c r="A9" s="114">
        <v>8</v>
      </c>
      <c r="B9" s="114" t="s">
        <v>940</v>
      </c>
      <c r="C9" s="114" t="s">
        <v>941</v>
      </c>
      <c r="D9" s="114" t="s">
        <v>942</v>
      </c>
    </row>
    <row r="10" spans="1:4" ht="115.2" x14ac:dyDescent="0.3">
      <c r="A10" s="114">
        <v>9</v>
      </c>
      <c r="B10" s="114" t="s">
        <v>943</v>
      </c>
      <c r="C10" s="114" t="s">
        <v>944</v>
      </c>
      <c r="D10" s="114" t="s">
        <v>930</v>
      </c>
    </row>
    <row r="11" spans="1:4" ht="158.4" x14ac:dyDescent="0.3">
      <c r="A11" s="114">
        <v>10</v>
      </c>
      <c r="B11" s="114" t="s">
        <v>945</v>
      </c>
      <c r="C11" s="114" t="s">
        <v>946</v>
      </c>
      <c r="D11" s="114" t="s">
        <v>947</v>
      </c>
    </row>
    <row r="12" spans="1:4" ht="129.6" x14ac:dyDescent="0.3">
      <c r="A12" s="114">
        <v>11</v>
      </c>
      <c r="B12" s="114" t="s">
        <v>948</v>
      </c>
      <c r="C12" s="114" t="s">
        <v>927</v>
      </c>
      <c r="D12" s="114" t="s">
        <v>930</v>
      </c>
    </row>
    <row r="13" spans="1:4" ht="144" x14ac:dyDescent="0.3">
      <c r="A13" s="114">
        <v>12</v>
      </c>
      <c r="B13" s="114" t="s">
        <v>949</v>
      </c>
      <c r="C13" s="114" t="s">
        <v>950</v>
      </c>
      <c r="D13" s="114" t="s">
        <v>951</v>
      </c>
    </row>
    <row r="14" spans="1:4" ht="86.4" x14ac:dyDescent="0.3">
      <c r="A14" s="114">
        <v>13</v>
      </c>
      <c r="B14" s="114" t="s">
        <v>952</v>
      </c>
      <c r="C14" s="114" t="s">
        <v>953</v>
      </c>
      <c r="D14" s="114" t="s">
        <v>930</v>
      </c>
    </row>
    <row r="15" spans="1:4" ht="100.8" x14ac:dyDescent="0.3">
      <c r="A15" s="114">
        <v>14</v>
      </c>
      <c r="B15" s="114" t="s">
        <v>954</v>
      </c>
      <c r="C15" s="114" t="s">
        <v>955</v>
      </c>
      <c r="D15" s="114" t="s">
        <v>956</v>
      </c>
    </row>
    <row r="16" spans="1:4" ht="86.4" x14ac:dyDescent="0.3">
      <c r="A16" s="114">
        <v>15</v>
      </c>
      <c r="B16" s="114" t="s">
        <v>957</v>
      </c>
      <c r="C16" s="114" t="s">
        <v>958</v>
      </c>
      <c r="D16" s="114" t="s">
        <v>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FBA5-57E9-473F-8072-CEDA046C73DA}">
  <dimension ref="A1:D8"/>
  <sheetViews>
    <sheetView workbookViewId="0">
      <selection sqref="A1:D8"/>
    </sheetView>
  </sheetViews>
  <sheetFormatPr defaultRowHeight="14.4" x14ac:dyDescent="0.3"/>
  <sheetData>
    <row r="1" spans="1:4" ht="72" x14ac:dyDescent="0.3">
      <c r="A1" s="117" t="s">
        <v>1</v>
      </c>
      <c r="B1" s="117" t="s">
        <v>960</v>
      </c>
      <c r="C1" s="117" t="s">
        <v>961</v>
      </c>
      <c r="D1" s="117" t="s">
        <v>908</v>
      </c>
    </row>
    <row r="2" spans="1:4" ht="374.4" x14ac:dyDescent="0.3">
      <c r="A2" s="114">
        <v>1</v>
      </c>
      <c r="B2" s="114" t="s">
        <v>962</v>
      </c>
      <c r="C2" s="114" t="s">
        <v>963</v>
      </c>
      <c r="D2" s="114" t="s">
        <v>881</v>
      </c>
    </row>
    <row r="3" spans="1:4" ht="230.4" x14ac:dyDescent="0.3">
      <c r="A3" s="114">
        <v>2</v>
      </c>
      <c r="B3" s="114" t="s">
        <v>964</v>
      </c>
      <c r="C3" s="114" t="s">
        <v>965</v>
      </c>
      <c r="D3" s="114" t="s">
        <v>881</v>
      </c>
    </row>
    <row r="4" spans="1:4" ht="259.2" x14ac:dyDescent="0.3">
      <c r="A4" s="114">
        <v>3</v>
      </c>
      <c r="B4" s="114" t="s">
        <v>966</v>
      </c>
      <c r="C4" s="114" t="s">
        <v>967</v>
      </c>
      <c r="D4" s="118" t="s">
        <v>1</v>
      </c>
    </row>
    <row r="5" spans="1:4" ht="216" x14ac:dyDescent="0.3">
      <c r="A5" s="114">
        <v>4</v>
      </c>
      <c r="B5" s="114" t="s">
        <v>968</v>
      </c>
      <c r="C5" s="114" t="s">
        <v>969</v>
      </c>
      <c r="D5" s="114" t="s">
        <v>881</v>
      </c>
    </row>
    <row r="6" spans="1:4" ht="273.60000000000002" x14ac:dyDescent="0.3">
      <c r="A6" s="114">
        <v>5</v>
      </c>
      <c r="B6" s="114" t="s">
        <v>970</v>
      </c>
      <c r="C6" s="114" t="s">
        <v>971</v>
      </c>
      <c r="D6" s="114" t="s">
        <v>881</v>
      </c>
    </row>
    <row r="7" spans="1:4" ht="288" x14ac:dyDescent="0.3">
      <c r="A7" s="114">
        <v>6</v>
      </c>
      <c r="B7" s="114" t="s">
        <v>972</v>
      </c>
      <c r="C7" s="114" t="s">
        <v>973</v>
      </c>
      <c r="D7" s="118" t="s">
        <v>1</v>
      </c>
    </row>
    <row r="8" spans="1:4" ht="316.8" x14ac:dyDescent="0.3">
      <c r="A8" s="114">
        <v>7</v>
      </c>
      <c r="B8" s="114" t="s">
        <v>974</v>
      </c>
      <c r="C8" s="114" t="s">
        <v>975</v>
      </c>
      <c r="D8" s="118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AD05-65EE-461F-B9A7-B12BA73F568D}">
  <dimension ref="A1:D11"/>
  <sheetViews>
    <sheetView workbookViewId="0">
      <selection sqref="A1:D11"/>
    </sheetView>
  </sheetViews>
  <sheetFormatPr defaultRowHeight="14.4" x14ac:dyDescent="0.3"/>
  <sheetData>
    <row r="1" spans="1:4" ht="72" x14ac:dyDescent="0.3">
      <c r="A1" s="119" t="s">
        <v>1</v>
      </c>
      <c r="B1" s="119" t="s">
        <v>960</v>
      </c>
      <c r="C1" s="119" t="s">
        <v>961</v>
      </c>
      <c r="D1" s="119" t="s">
        <v>908</v>
      </c>
    </row>
    <row r="2" spans="1:4" ht="409.6" x14ac:dyDescent="0.3">
      <c r="A2" s="120">
        <v>1</v>
      </c>
      <c r="B2" s="120" t="s">
        <v>976</v>
      </c>
      <c r="C2" s="120" t="s">
        <v>977</v>
      </c>
      <c r="D2" s="120" t="s">
        <v>881</v>
      </c>
    </row>
    <row r="3" spans="1:4" ht="409.6" x14ac:dyDescent="0.3">
      <c r="A3" s="120">
        <v>2</v>
      </c>
      <c r="B3" s="120" t="s">
        <v>978</v>
      </c>
      <c r="C3" s="120" t="s">
        <v>979</v>
      </c>
      <c r="D3" s="121" t="s">
        <v>1</v>
      </c>
    </row>
    <row r="4" spans="1:4" ht="288" x14ac:dyDescent="0.3">
      <c r="A4" s="120">
        <v>3</v>
      </c>
      <c r="B4" s="120" t="s">
        <v>980</v>
      </c>
      <c r="C4" s="120" t="s">
        <v>981</v>
      </c>
      <c r="D4" s="120" t="s">
        <v>881</v>
      </c>
    </row>
    <row r="5" spans="1:4" ht="302.39999999999998" x14ac:dyDescent="0.3">
      <c r="A5" s="120">
        <v>4</v>
      </c>
      <c r="B5" s="120" t="s">
        <v>982</v>
      </c>
      <c r="C5" s="120" t="s">
        <v>983</v>
      </c>
      <c r="D5" s="120" t="s">
        <v>881</v>
      </c>
    </row>
    <row r="6" spans="1:4" ht="129.6" x14ac:dyDescent="0.3">
      <c r="A6" s="120">
        <v>5</v>
      </c>
      <c r="B6" s="120" t="s">
        <v>984</v>
      </c>
      <c r="C6" s="120" t="s">
        <v>985</v>
      </c>
      <c r="D6" s="120" t="s">
        <v>881</v>
      </c>
    </row>
    <row r="7" spans="1:4" ht="331.2" x14ac:dyDescent="0.3">
      <c r="A7" s="120">
        <v>6</v>
      </c>
      <c r="B7" s="120" t="s">
        <v>986</v>
      </c>
      <c r="C7" s="120" t="s">
        <v>987</v>
      </c>
      <c r="D7" s="121" t="s">
        <v>1</v>
      </c>
    </row>
    <row r="8" spans="1:4" ht="374.4" x14ac:dyDescent="0.3">
      <c r="A8" s="120">
        <v>7</v>
      </c>
      <c r="B8" s="120" t="s">
        <v>988</v>
      </c>
      <c r="C8" s="120" t="s">
        <v>989</v>
      </c>
      <c r="D8" s="121" t="s">
        <v>1</v>
      </c>
    </row>
    <row r="9" spans="1:4" ht="288" x14ac:dyDescent="0.3">
      <c r="A9" s="120">
        <v>8</v>
      </c>
      <c r="B9" s="120" t="s">
        <v>990</v>
      </c>
      <c r="C9" s="120" t="s">
        <v>991</v>
      </c>
      <c r="D9" s="121" t="s">
        <v>1</v>
      </c>
    </row>
    <row r="10" spans="1:4" ht="316.8" x14ac:dyDescent="0.3">
      <c r="A10" s="120">
        <v>9</v>
      </c>
      <c r="B10" s="120" t="s">
        <v>992</v>
      </c>
      <c r="C10" s="120" t="s">
        <v>993</v>
      </c>
      <c r="D10" s="121" t="s">
        <v>1</v>
      </c>
    </row>
    <row r="11" spans="1:4" ht="331.2" x14ac:dyDescent="0.3">
      <c r="A11" s="120">
        <v>10</v>
      </c>
      <c r="B11" s="120" t="s">
        <v>994</v>
      </c>
      <c r="C11" s="120" t="s">
        <v>995</v>
      </c>
      <c r="D11" s="12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C7BF-E3B7-4112-AD8F-852A974688F9}">
  <dimension ref="A1:D14"/>
  <sheetViews>
    <sheetView tabSelected="1" workbookViewId="0">
      <selection sqref="A1:D14"/>
    </sheetView>
  </sheetViews>
  <sheetFormatPr defaultRowHeight="14.4" x14ac:dyDescent="0.3"/>
  <sheetData>
    <row r="1" spans="1:4" ht="72" x14ac:dyDescent="0.3">
      <c r="A1" s="122" t="s">
        <v>1</v>
      </c>
      <c r="B1" s="122" t="s">
        <v>960</v>
      </c>
      <c r="C1" s="122" t="s">
        <v>961</v>
      </c>
      <c r="D1" s="122" t="s">
        <v>908</v>
      </c>
    </row>
    <row r="2" spans="1:4" ht="259.2" x14ac:dyDescent="0.3">
      <c r="A2" s="120">
        <v>1</v>
      </c>
      <c r="B2" s="120" t="s">
        <v>996</v>
      </c>
      <c r="C2" s="120" t="s">
        <v>997</v>
      </c>
      <c r="D2" s="120" t="s">
        <v>881</v>
      </c>
    </row>
    <row r="3" spans="1:4" ht="230.4" x14ac:dyDescent="0.3">
      <c r="A3" s="120">
        <v>2</v>
      </c>
      <c r="B3" s="120" t="s">
        <v>998</v>
      </c>
      <c r="C3" s="120" t="s">
        <v>999</v>
      </c>
      <c r="D3" s="121" t="s">
        <v>1</v>
      </c>
    </row>
    <row r="4" spans="1:4" ht="244.8" x14ac:dyDescent="0.3">
      <c r="A4" s="120">
        <v>3</v>
      </c>
      <c r="B4" s="120" t="s">
        <v>1000</v>
      </c>
      <c r="C4" s="120" t="s">
        <v>1001</v>
      </c>
      <c r="D4" s="120" t="s">
        <v>881</v>
      </c>
    </row>
    <row r="5" spans="1:4" ht="302.39999999999998" x14ac:dyDescent="0.3">
      <c r="A5" s="120">
        <v>4</v>
      </c>
      <c r="B5" s="120" t="s">
        <v>1002</v>
      </c>
      <c r="C5" s="120" t="s">
        <v>1003</v>
      </c>
      <c r="D5" s="120" t="s">
        <v>881</v>
      </c>
    </row>
    <row r="6" spans="1:4" ht="216" x14ac:dyDescent="0.3">
      <c r="A6" s="120">
        <v>5</v>
      </c>
      <c r="B6" s="120" t="s">
        <v>1004</v>
      </c>
      <c r="C6" s="120" t="s">
        <v>1005</v>
      </c>
      <c r="D6" s="120" t="s">
        <v>881</v>
      </c>
    </row>
    <row r="7" spans="1:4" ht="273.60000000000002" x14ac:dyDescent="0.3">
      <c r="A7" s="120">
        <v>6</v>
      </c>
      <c r="B7" s="120" t="s">
        <v>1006</v>
      </c>
      <c r="C7" s="120" t="s">
        <v>1007</v>
      </c>
      <c r="D7" s="121" t="s">
        <v>1</v>
      </c>
    </row>
    <row r="8" spans="1:4" ht="216" x14ac:dyDescent="0.3">
      <c r="A8" s="120">
        <v>7</v>
      </c>
      <c r="B8" s="120" t="s">
        <v>1008</v>
      </c>
      <c r="C8" s="120" t="s">
        <v>1009</v>
      </c>
      <c r="D8" s="120" t="s">
        <v>881</v>
      </c>
    </row>
    <row r="9" spans="1:4" ht="259.2" x14ac:dyDescent="0.3">
      <c r="A9" s="120">
        <v>8</v>
      </c>
      <c r="B9" s="120" t="s">
        <v>1010</v>
      </c>
      <c r="C9" s="120" t="s">
        <v>1011</v>
      </c>
      <c r="D9" s="121" t="s">
        <v>1</v>
      </c>
    </row>
    <row r="10" spans="1:4" ht="216" x14ac:dyDescent="0.3">
      <c r="A10" s="120">
        <v>9</v>
      </c>
      <c r="B10" s="120" t="s">
        <v>1012</v>
      </c>
      <c r="C10" s="120" t="s">
        <v>1013</v>
      </c>
      <c r="D10" s="121" t="s">
        <v>1</v>
      </c>
    </row>
    <row r="11" spans="1:4" ht="230.4" x14ac:dyDescent="0.3">
      <c r="A11" s="120">
        <v>10</v>
      </c>
      <c r="B11" s="120" t="s">
        <v>1014</v>
      </c>
      <c r="C11" s="120" t="s">
        <v>1015</v>
      </c>
      <c r="D11" s="120" t="s">
        <v>1</v>
      </c>
    </row>
    <row r="12" spans="1:4" ht="187.2" x14ac:dyDescent="0.3">
      <c r="A12" s="120">
        <v>11</v>
      </c>
      <c r="B12" s="120" t="s">
        <v>1016</v>
      </c>
      <c r="C12" s="120" t="s">
        <v>1017</v>
      </c>
      <c r="D12" s="120" t="s">
        <v>881</v>
      </c>
    </row>
    <row r="13" spans="1:4" ht="302.39999999999998" x14ac:dyDescent="0.3">
      <c r="A13" s="120">
        <v>12</v>
      </c>
      <c r="B13" s="120" t="s">
        <v>1018</v>
      </c>
      <c r="C13" s="120" t="s">
        <v>1019</v>
      </c>
      <c r="D13" s="120" t="s">
        <v>1</v>
      </c>
    </row>
    <row r="14" spans="1:4" ht="216" x14ac:dyDescent="0.3">
      <c r="A14" s="120">
        <v>13</v>
      </c>
      <c r="B14" s="120" t="s">
        <v>1020</v>
      </c>
      <c r="C14" s="120" t="s">
        <v>1021</v>
      </c>
      <c r="D14" s="1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Field Rule extraction Sampl dt</vt:lpstr>
      <vt:lpstr>Report Kertas Kerja</vt:lpstr>
      <vt:lpstr>SOP 1</vt:lpstr>
      <vt:lpstr>SOP System</vt:lpstr>
      <vt:lpstr>SOP Riplay</vt:lpstr>
      <vt:lpstr>SOP Stemple</vt:lpstr>
      <vt:lpstr>SOP Tabungan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Thantowi Jauhari Utomo</dc:creator>
  <cp:lastModifiedBy>Thantowi Jauhari Utomo</cp:lastModifiedBy>
  <dcterms:created xsi:type="dcterms:W3CDTF">2026-10-08T05:03:19Z</dcterms:created>
  <dcterms:modified xsi:type="dcterms:W3CDTF">2026-10-08T05:05:46Z</dcterms:modified>
</cp:coreProperties>
</file>